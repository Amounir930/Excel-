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حاسبة المخالفات" sheetId="1"/>
    <sheet r:id="rId2" name="جدول المخالفات" sheetId="2"/>
  </sheets>
  <calcPr calcId="0" iterate="1" iterateCount="1000" iterateDelta="0.01"/>
</workbook>
</file>

<file path=xl/sharedStrings.xml><?xml version="1.0" encoding="utf-8"?>
<sst xmlns="http://schemas.openxmlformats.org/spreadsheetml/2006/main" count="61" uniqueCount="61">
  <si>
    <t>حاسبة المخالفات المرورية - نظام المرور السعودي الجديد (10/04/2024)</t>
  </si>
  <si>
    <t>Saudi Traffic Violations Calculator - Effective 10/04/2024</t>
  </si>
  <si>
    <t>📌 ملاحظات مهمة</t>
  </si>
  <si>
    <t>• تخفيض 50% على المخالفات المرتكبة قبل تاريخ 18/04/2024</t>
  </si>
  <si>
    <t>• تخفيض 25% على المخالفات المرتكبة بعد 18/04/2024 (السداد خلال 30 يوماً)</t>
  </si>
  <si>
    <t>• مهلة الاعتراض 30 يوم | مهلة السداد 15 يوم | تمديد ممكن 90 يوم</t>
  </si>
  <si>
    <t>• بعد انتهاء المهلة: تطبق القيمة الكاملة بدون أي تخفيض</t>
  </si>
  <si>
    <t>نوع المخالفة</t>
  </si>
  <si>
    <t>قيمة الغرامة الأساسية (ريال)</t>
  </si>
  <si>
    <t>العدد</t>
  </si>
  <si>
    <t>المجموع قبل الخصم</t>
  </si>
  <si>
    <t>نوع التخفيض</t>
  </si>
  <si>
    <t>المبلغ المستحق (ريال)</t>
  </si>
  <si>
    <t>تجاوز الإشارة الحمراء</t>
  </si>
  <si>
    <t>بدون تخفيض</t>
  </si>
  <si>
    <t>القيادة عكس الاتجاه</t>
  </si>
  <si>
    <t>تجاوز السرعة بأكثر من 25 كم/س</t>
  </si>
  <si>
    <t>تجاوز السرعة بأقل من 25 كم/س</t>
  </si>
  <si>
    <t>استخدام الجوال أثناء القيادة</t>
  </si>
  <si>
    <t>عدم ربط حزام الأمان</t>
  </si>
  <si>
    <t>القيادة بدون رخصة سارية</t>
  </si>
  <si>
    <t>القيادة تحت تأثير المسكرات/المخدرات</t>
  </si>
  <si>
    <t>طمس لوحات المركبة</t>
  </si>
  <si>
    <t>الوقوف في أماكن ذوي الإعاقة</t>
  </si>
  <si>
    <t>عدم إعطاء أفضلية المرور للمشاة</t>
  </si>
  <si>
    <t>تغيير المسار بشكل مفاجئ</t>
  </si>
  <si>
    <t>عدم استخدام إشارات الانعطاف</t>
  </si>
  <si>
    <t>تأخير تجديد رخصة القيادة</t>
  </si>
  <si>
    <t>عدم تثبيت الحمولة أو تغطيتها</t>
  </si>
  <si>
    <t>الإجمالي:</t>
  </si>
  <si>
    <t>إجمالي المبلغ المستحق ←</t>
  </si>
  <si>
    <t>💰 إجمالي المبلغ الموفر بفضل التخفيض:</t>
  </si>
  <si>
    <t>📝 طريقة الاستخدام:</t>
  </si>
  <si>
    <t>1️⃣ أدخل عدد المخالفات في عمود (العدد) - الخلايا الصفراء</t>
  </si>
  <si>
    <t>2️⃣ اختر نوع التخفيض من القائمة المنسدلة</t>
  </si>
  <si>
    <t>3️⃣ سيتم حساب المبلغ تلقائياً</t>
  </si>
  <si>
    <t>⚠️ المخالفات الجسيمة قد تشمل حجز المركبة + سجن</t>
  </si>
  <si>
    <t>📞 للاستعلام والسداد: منصة أبشر | تطبيق توكلني | 19911</t>
  </si>
  <si>
    <t>جدول المخالفات المرورية الكامل - نظام المرور السعودي</t>
  </si>
  <si>
    <t>الرقم</t>
  </si>
  <si>
    <t>قيمة الغرامة (ريال)</t>
  </si>
  <si>
    <t>الفئة</t>
  </si>
  <si>
    <t>القيادة تحت تأثير المسكرات أو المخدرات</t>
  </si>
  <si>
    <t>جسيمة جداً</t>
  </si>
  <si>
    <t>القيادة عكس الاتجاه على الطرق السريعة</t>
  </si>
  <si>
    <t>تركيب لوحات مزورة على المركبة</t>
  </si>
  <si>
    <t>القيادة بتهور أو تفحيط</t>
  </si>
  <si>
    <t>جسيمة</t>
  </si>
  <si>
    <t>طمس لوحات المركبة أو عدم حملها</t>
  </si>
  <si>
    <t>تغيير ملامح المركبة</t>
  </si>
  <si>
    <t>خطيرة</t>
  </si>
  <si>
    <t>القيادة بدون رخصة قيادة سارية</t>
  </si>
  <si>
    <t>متوسطة</t>
  </si>
  <si>
    <t>الوقوف على الرصيف</t>
  </si>
  <si>
    <t>عدم الالتزام بأنظمة الانتظار</t>
  </si>
  <si>
    <t>بسيطة</t>
  </si>
  <si>
    <t>عدم وضع كرسي الأطفال للأقل من 8 سنوات</t>
  </si>
  <si>
    <t>تأخير تجديد رخصة السير (الاستمارة)</t>
  </si>
  <si>
    <t>عدم حمل الرخصة أثناء القيادة</t>
  </si>
  <si>
    <t>📌 المصدر: نظام المرور السعودي - الإدارة العامة للمرور | وزارة الداخلية www.moi.gov.sa</t>
  </si>
  <si>
    <t>نظام المرور الجديد - ساري المفعول من 10/04/2024 | جميع القيم بالريال السعودي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</si>
</sst>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Calibri"/>
      <scheme val="minor"/>
    </font>
    <font>
      <b/>
      <i val="0"/>
      <sz val="16"/>
      <color rgb="FFFFFFFF"/>
      <name val="Aptos Narrow"/>
    </font>
    <font>
      <b val="0"/>
      <i/>
      <sz val="10"/>
      <color rgb="FF808080"/>
      <name val="Aptos Narrow"/>
    </font>
    <font>
      <b/>
      <i val="0"/>
      <sz val="13"/>
      <color rgb="FFFFFFFF"/>
      <name val="Aptos Narrow"/>
    </font>
    <font>
      <b val="0"/>
      <i val="0"/>
      <sz val="11"/>
      <name val="Aptos Narrow"/>
    </font>
    <font>
      <b/>
      <i val="0"/>
      <sz val="12"/>
      <color rgb="FFFFFFFF"/>
      <name val="Aptos Narrow"/>
    </font>
    <font>
      <b val="0"/>
      <i val="0"/>
      <sz val="10"/>
      <name val="Aptos Narrow"/>
    </font>
    <font>
      <b/>
      <i val="0"/>
      <sz val="11"/>
      <name val="Aptos Narrow"/>
    </font>
    <font>
      <b/>
      <i val="0"/>
      <sz val="14"/>
      <color rgb="FFFFFFFF"/>
      <name val="Aptos Narrow"/>
    </font>
    <font>
      <name val="Calibri"/>
      <scheme val="minor"/>
    </font>
    <font>
      <b/>
      <i val="0"/>
      <sz val="12"/>
      <color rgb="FF006100"/>
      <name val="Aptos Narrow"/>
    </font>
    <font>
      <b/>
      <i val="0"/>
      <sz val="14"/>
      <color rgb="FF006100"/>
      <name val="Aptos Narrow"/>
    </font>
    <font>
      <b/>
      <i val="0"/>
      <sz val="16"/>
      <color rgb="FFFFFFFF"/>
      <name val="Aptos Narrow"/>
    </font>
    <font>
      <b/>
      <i val="0"/>
      <sz val="12"/>
      <color rgb="FFFFFFFF"/>
      <name val="Aptos Narrow"/>
    </font>
    <font>
      <b/>
      <i val="0"/>
      <sz val="11"/>
      <color rgb="FF9C0006"/>
      <name val="Aptos Narrow"/>
    </font>
    <font>
      <b val="0"/>
      <i/>
      <sz val="10"/>
      <name val="Aptos Narrow"/>
    </font>
    <font>
      <b val="0"/>
      <i/>
      <sz val="9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FFACD"/>
      </patternFill>
    </fill>
    <fill>
      <patternFill patternType="solid">
        <fgColor rgb="FFC00000"/>
      </patternFill>
    </fill>
    <fill>
      <patternFill patternType="solid">
        <fgColor rgb="FFC6EFCE"/>
      </patternFill>
    </fill>
    <fill>
      <patternFill patternType="solid">
        <fgColor rgb="FFF2F7FC"/>
      </patternFill>
    </fill>
    <fill>
      <patternFill patternType="solid">
        <fgColor rgb="FFFFC7CE"/>
      </patternFill>
    </fill>
    <fill>
      <patternFill patternType="solid">
        <fgColor rgb="FFFFFFFF"/>
      </patternFill>
    </fill>
    <fill>
      <patternFill patternType="solid">
        <fgColor rgb="FFFFD699"/>
      </patternFill>
    </fill>
    <fill>
      <patternFill patternType="solid">
        <fgColor rgb="FFFFEB9C"/>
      </patternFill>
    </fill>
    <fill>
      <patternFill patternType="solid">
        <fgColor rgb="FFBDD7EE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1">
      <alignment horizontal="general" vertical="top"/>
    </xf>
  </cellStyleXfs>
  <cellXfs count="34">
    <xf numFmtId="0" fontId="0" fillId="0" borderId="1" xfId="0">
      <alignment vertical="top"/>
    </xf>
    <xf numFmtId="0" fontId="1" fillId="2" borderId="0" xfId="0">
      <alignment horizontal="center" vertical="center"/>
    </xf>
    <xf numFmtId="0" fontId="2" fillId="3" borderId="0" xfId="0">
      <alignment horizontal="center" vertical="center"/>
    </xf>
    <xf numFmtId="0" fontId="3" fillId="4" borderId="0" xfId="0">
      <alignment horizontal="center" vertical="center"/>
    </xf>
    <xf numFmtId="0" fontId="4" fillId="5" borderId="0" xfId="0">
      <alignment horizontal="right" vertical="center"/>
    </xf>
    <xf numFmtId="0" fontId="5" fillId="2" borderId="2" xfId="0">
      <alignment horizontal="center" vertical="center"/>
    </xf>
    <xf numFmtId="0" fontId="4" fillId="0" borderId="2" xfId="0">
      <alignment horizontal="right" vertical="center"/>
    </xf>
    <xf numFmtId="0" fontId="4" fillId="0" borderId="2" xfId="0">
      <alignment horizontal="center" vertical="center"/>
    </xf>
    <xf numFmtId="0" fontId="4" fillId="6" borderId="2" xfId="0">
      <alignment horizontal="center" vertical="center"/>
    </xf>
    <xf numFmtId="0" fontId="6" fillId="6" borderId="2" xfId="0">
      <alignment horizontal="center" vertical="center"/>
    </xf>
    <xf numFmtId="0" fontId="7" fillId="0" borderId="2" xfId="0">
      <alignment horizontal="center" vertical="center"/>
    </xf>
    <xf numFmtId="0" fontId="8" fillId="2" borderId="2" xfId="0">
      <alignment horizontal="right" vertical="center"/>
    </xf>
    <xf numFmtId="0" fontId="9" fillId="2" borderId="2" xfId="0">
      <alignment vertical="top"/>
    </xf>
    <xf numFmtId="0" fontId="8" fillId="2" borderId="2" xfId="0">
      <alignment horizontal="center" vertical="center"/>
    </xf>
    <xf numFmtId="0" fontId="5" fillId="2" borderId="2" xfId="0">
      <alignment horizontal="right" vertical="center"/>
    </xf>
    <xf numFmtId="0" fontId="1" fillId="7" borderId="3" xfId="0">
      <alignment horizontal="center" vertical="center"/>
    </xf>
    <xf numFmtId="0" fontId="10" fillId="8" borderId="0" xfId="0">
      <alignment horizontal="right" vertical="center"/>
    </xf>
    <xf numFmtId="0" fontId="11" fillId="8" borderId="0" xfId="0">
      <alignment horizontal="center" vertical="center"/>
    </xf>
    <xf numFmtId="0" fontId="4" fillId="3" borderId="0" xfId="0">
      <alignment horizontal="right" vertical="center"/>
    </xf>
    <xf numFmtId="0" fontId="12" fillId="2" borderId="0" xfId="0">
      <alignment horizontal="center" vertical="center"/>
    </xf>
    <xf numFmtId="0" fontId="13" fillId="2" borderId="4" xfId="0">
      <alignment horizontal="center" vertical="center"/>
    </xf>
    <xf numFmtId="0" fontId="4" fillId="9" borderId="5" xfId="0">
      <alignment horizontal="center" vertical="top"/>
    </xf>
    <xf numFmtId="0" fontId="4" fillId="9" borderId="5" xfId="0">
      <alignment horizontal="right" vertical="top"/>
    </xf>
    <xf numFmtId="0" fontId="7" fillId="9" borderId="5" xfId="0">
      <alignment horizontal="center" vertical="top"/>
    </xf>
    <xf numFmtId="0" fontId="14" fillId="10" borderId="5" xfId="0">
      <alignment horizontal="center" vertical="top"/>
    </xf>
    <xf numFmtId="0" fontId="4" fillId="11" borderId="5" xfId="0">
      <alignment horizontal="center" vertical="top"/>
    </xf>
    <xf numFmtId="0" fontId="4" fillId="11" borderId="5" xfId="0">
      <alignment horizontal="right" vertical="top"/>
    </xf>
    <xf numFmtId="0" fontId="7" fillId="11" borderId="5" xfId="0">
      <alignment horizontal="center" vertical="top"/>
    </xf>
    <xf numFmtId="0" fontId="7" fillId="12" borderId="5" xfId="0">
      <alignment horizontal="center" vertical="top"/>
    </xf>
    <xf numFmtId="0" fontId="7" fillId="13" borderId="5" xfId="0">
      <alignment horizontal="center" vertical="top"/>
    </xf>
    <xf numFmtId="0" fontId="7" fillId="14" borderId="5" xfId="0">
      <alignment horizontal="center" vertical="top"/>
    </xf>
    <xf numFmtId="0" fontId="7" fillId="8" borderId="5" xfId="0">
      <alignment horizontal="center" vertical="top"/>
    </xf>
    <xf numFmtId="0" fontId="15" fillId="3" borderId="0" xfId="0">
      <alignment horizontal="center" vertical="center"/>
    </xf>
    <xf numFmtId="0" fontId="16" fillId="3" borderId="0" xfId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6F052A8-1816-5FC8-8D4E-A9857E5D7318}" mc:Ignorable="x14ac xr xr2 xr3">
  <dimension ref="A1:GR1000"/>
  <sheetViews>
    <sheetView topLeftCell="A1" workbookViewId="0" tabSelected="1">
      <pane ySplit="9" topLeftCell="A19" activePane="bottomLeft" state="frozen"/>
      <selection pane="bottomLeft" activeCell="A28" sqref="A28:G28"/>
    </sheetView>
  </sheetViews>
  <sheetFormatPr defaultRowHeight="15" defaultColWidth="8.8515625" customHeight="1"/>
  <cols>
    <col min="1" max="1" width="0.7109375" customWidth="1"/>
    <col min="2" max="2" width="38.28125" customWidth="1"/>
    <col min="3" max="3" width="19.28125" customWidth="1"/>
    <col min="4" max="4" width="15.00390625" customWidth="1"/>
    <col min="5" max="5" width="19.28125" customWidth="1"/>
    <col min="6" max="6" width="27.8515625" customWidth="1"/>
    <col min="7" max="7" width="21.421875" customWidth="1"/>
  </cols>
  <sheetData>
    <row r="1" ht="30" customHeight="1">
      <c r="A1" s="1" t="s">
        <v>0</v>
      </c>
    </row>
    <row r="2" ht="16.5" customHeight="1">
      <c r="A2" s="2" t="s">
        <v>1</v>
      </c>
    </row>
    <row r="3" ht="21" customHeight="1">
      <c r="A3" s="3" t="s">
        <v>2</v>
      </c>
    </row>
    <row r="4" ht="16.5" customHeight="1">
      <c r="A4" s="4" t="s">
        <v>3</v>
      </c>
    </row>
    <row r="5" ht="16.5" customHeight="1">
      <c r="A5" s="4" t="s">
        <v>4</v>
      </c>
    </row>
    <row r="6" ht="16.5" customHeight="1">
      <c r="A6" s="4" t="s">
        <v>5</v>
      </c>
    </row>
    <row r="7" ht="16.5" customHeight="1">
      <c r="A7" s="4" t="s">
        <v>6</v>
      </c>
    </row>
    <row r="9" ht="33.75" customHeight="1"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</row>
    <row r="10" ht="19.5" customHeight="1">
      <c r="B10" s="6" t="s">
        <v>13</v>
      </c>
      <c r="C10" s="7">
        <v>3000</v>
      </c>
      <c r="D10" s="8"/>
      <c r="E10" s="7">
        <f t="shared" si="0" ref="E10:E24">C10*D10</f>
        <v>0</v>
      </c>
      <c r="F10" s="9" t="s">
        <v>14</v>
      </c>
      <c r="G10" s="10">
        <f t="shared" si="1" ref="G10:G24">IF(F10="50% (قبل 18/04/2024)",E10*0.5,IF(F10="25% (بعد 18/04/2024)",E10*0.75,E10))</f>
        <v>0</v>
      </c>
    </row>
    <row r="11" ht="19.5" customHeight="1">
      <c r="B11" s="6" t="s">
        <v>15</v>
      </c>
      <c r="C11" s="7">
        <v>6000</v>
      </c>
      <c r="D11" s="8"/>
      <c r="E11" s="7">
        <f t="shared" si="0"/>
        <v>0</v>
      </c>
      <c r="F11" s="9" t="s">
        <v>14</v>
      </c>
      <c r="G11" s="10">
        <f t="shared" si="1"/>
        <v>0</v>
      </c>
    </row>
    <row r="12" ht="19.5" customHeight="1">
      <c r="B12" s="6" t="s">
        <v>16</v>
      </c>
      <c r="C12" s="7">
        <v>900</v>
      </c>
      <c r="D12" s="8"/>
      <c r="E12" s="7">
        <f t="shared" si="0"/>
        <v>0</v>
      </c>
      <c r="F12" s="9" t="s">
        <v>14</v>
      </c>
      <c r="G12" s="10">
        <f t="shared" si="1"/>
        <v>0</v>
      </c>
    </row>
    <row r="13" ht="19.5" customHeight="1">
      <c r="B13" s="6" t="s">
        <v>17</v>
      </c>
      <c r="C13" s="7">
        <v>500</v>
      </c>
      <c r="D13" s="8"/>
      <c r="E13" s="7">
        <f t="shared" si="0"/>
        <v>0</v>
      </c>
      <c r="F13" s="9" t="s">
        <v>14</v>
      </c>
      <c r="G13" s="10">
        <f t="shared" si="1"/>
        <v>0</v>
      </c>
    </row>
    <row r="14" ht="19.5" customHeight="1">
      <c r="B14" s="6" t="s">
        <v>18</v>
      </c>
      <c r="C14" s="7">
        <v>500</v>
      </c>
      <c r="D14" s="8"/>
      <c r="E14" s="7">
        <f t="shared" si="0"/>
        <v>0</v>
      </c>
      <c r="F14" s="9" t="s">
        <v>14</v>
      </c>
      <c r="G14" s="10">
        <f t="shared" si="1"/>
        <v>0</v>
      </c>
    </row>
    <row r="15" ht="19.5" customHeight="1">
      <c r="B15" s="6" t="s">
        <v>19</v>
      </c>
      <c r="C15" s="7">
        <v>150</v>
      </c>
      <c r="D15" s="8"/>
      <c r="E15" s="7">
        <f t="shared" si="0"/>
        <v>0</v>
      </c>
      <c r="F15" s="9" t="s">
        <v>14</v>
      </c>
      <c r="G15" s="10">
        <f t="shared" si="1"/>
        <v>0</v>
      </c>
    </row>
    <row r="16" ht="19.5" customHeight="1">
      <c r="B16" s="6" t="s">
        <v>20</v>
      </c>
      <c r="C16" s="7">
        <v>900</v>
      </c>
      <c r="D16" s="8"/>
      <c r="E16" s="7">
        <f t="shared" si="0"/>
        <v>0</v>
      </c>
      <c r="F16" s="9" t="s">
        <v>14</v>
      </c>
      <c r="G16" s="10">
        <f t="shared" si="1"/>
        <v>0</v>
      </c>
    </row>
    <row r="17" ht="19.5" customHeight="1">
      <c r="B17" s="6" t="s">
        <v>21</v>
      </c>
      <c r="C17" s="7">
        <v>9000</v>
      </c>
      <c r="D17" s="8"/>
      <c r="E17" s="7">
        <f t="shared" si="0"/>
        <v>0</v>
      </c>
      <c r="F17" s="9" t="s">
        <v>14</v>
      </c>
      <c r="G17" s="10">
        <f t="shared" si="1"/>
        <v>0</v>
      </c>
    </row>
    <row r="18" ht="19.5" customHeight="1">
      <c r="B18" s="6" t="s">
        <v>22</v>
      </c>
      <c r="C18" s="7">
        <v>3000</v>
      </c>
      <c r="D18" s="8"/>
      <c r="E18" s="7">
        <f t="shared" si="0"/>
        <v>0</v>
      </c>
      <c r="F18" s="9" t="s">
        <v>14</v>
      </c>
      <c r="G18" s="10">
        <f t="shared" si="1"/>
        <v>0</v>
      </c>
    </row>
    <row r="19" ht="19.5" customHeight="1">
      <c r="B19" s="6" t="s">
        <v>23</v>
      </c>
      <c r="C19" s="7">
        <v>1000</v>
      </c>
      <c r="D19" s="8"/>
      <c r="E19" s="7">
        <f t="shared" si="0"/>
        <v>0</v>
      </c>
      <c r="F19" s="9" t="s">
        <v>14</v>
      </c>
      <c r="G19" s="10">
        <f t="shared" si="1"/>
        <v>0</v>
      </c>
    </row>
    <row r="20" ht="19.5" customHeight="1">
      <c r="B20" s="6" t="s">
        <v>24</v>
      </c>
      <c r="C20" s="7">
        <v>500</v>
      </c>
      <c r="D20" s="8"/>
      <c r="E20" s="7">
        <f t="shared" si="0"/>
        <v>0</v>
      </c>
      <c r="F20" s="9" t="s">
        <v>14</v>
      </c>
      <c r="G20" s="10">
        <f t="shared" si="1"/>
        <v>0</v>
      </c>
    </row>
    <row r="21" ht="19.5" customHeight="1">
      <c r="B21" s="6" t="s">
        <v>25</v>
      </c>
      <c r="C21" s="7">
        <v>300</v>
      </c>
      <c r="D21" s="8"/>
      <c r="E21" s="7">
        <f t="shared" si="0"/>
        <v>0</v>
      </c>
      <c r="F21" s="9" t="s">
        <v>14</v>
      </c>
      <c r="G21" s="10">
        <f t="shared" si="1"/>
        <v>0</v>
      </c>
    </row>
    <row r="22" ht="19.5" customHeight="1">
      <c r="B22" s="6" t="s">
        <v>26</v>
      </c>
      <c r="C22" s="7">
        <v>150</v>
      </c>
      <c r="D22" s="8"/>
      <c r="E22" s="7">
        <f t="shared" si="0"/>
        <v>0</v>
      </c>
      <c r="F22" s="9" t="s">
        <v>14</v>
      </c>
      <c r="G22" s="10">
        <f t="shared" si="1"/>
        <v>0</v>
      </c>
    </row>
    <row r="23" ht="19.5" customHeight="1">
      <c r="B23" s="6" t="s">
        <v>27</v>
      </c>
      <c r="C23" s="7">
        <v>100</v>
      </c>
      <c r="D23" s="8"/>
      <c r="E23" s="7">
        <f t="shared" si="0"/>
        <v>0</v>
      </c>
      <c r="F23" s="9" t="s">
        <v>14</v>
      </c>
      <c r="G23" s="10">
        <f t="shared" si="1"/>
        <v>0</v>
      </c>
    </row>
    <row r="24" ht="19.5" customHeight="1">
      <c r="B24" s="6" t="s">
        <v>28</v>
      </c>
      <c r="C24" s="7">
        <v>500</v>
      </c>
      <c r="D24" s="8"/>
      <c r="E24" s="7">
        <f t="shared" si="0"/>
        <v>0</v>
      </c>
      <c r="F24" s="9" t="s">
        <v>14</v>
      </c>
      <c r="G24" s="10">
        <f t="shared" si="1"/>
        <v>0</v>
      </c>
    </row>
    <row r="25" ht="28.5" customHeight="1">
      <c r="B25" s="11" t="s">
        <v>29</v>
      </c>
      <c r="C25" s="12"/>
      <c r="D25" s="13">
        <f t="shared" si="2" ref="D25:G25">SUM(D10:D24)</f>
        <v>0</v>
      </c>
      <c r="E25" s="13">
        <f t="shared" si="2"/>
        <v>0</v>
      </c>
      <c r="F25" s="14" t="s">
        <v>30</v>
      </c>
      <c r="G25" s="15">
        <f t="shared" si="2"/>
        <v>0</v>
      </c>
    </row>
    <row r="26" ht="22.5" customHeight="1">
      <c r="B26" s="16" t="s">
        <v>31</v>
      </c>
      <c r="G26" s="17">
        <f>E25-G25</f>
        <v>0</v>
      </c>
    </row>
    <row r="28" ht="19.5" customHeight="1">
      <c r="A28" s="3" t="s">
        <v>32</v>
      </c>
    </row>
    <row r="29" ht="16.5" customHeight="1">
      <c r="A29" s="18" t="s">
        <v>33</v>
      </c>
    </row>
    <row r="30" ht="16.5" customHeight="1">
      <c r="A30" s="18" t="s">
        <v>34</v>
      </c>
    </row>
    <row r="31" ht="16.5" customHeight="1">
      <c r="A31" s="18" t="s">
        <v>35</v>
      </c>
    </row>
    <row r="32" ht="16.5" customHeight="1">
      <c r="A32" s="18" t="s">
        <v>36</v>
      </c>
    </row>
    <row r="33" ht="16.5" customHeight="1">
      <c r="A33" s="18" t="s">
        <v>37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B26:F26"/>
    <mergeCell ref="A28:G28"/>
    <mergeCell ref="A29:G29"/>
    <mergeCell ref="A30:G30"/>
    <mergeCell ref="A31:G31"/>
    <mergeCell ref="A32:G32"/>
    <mergeCell ref="A33:G33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90C3178-2B06-25F5-72E8-05F864058748}" mc:Ignorable="x14ac xr xr2 xr3">
  <dimension ref="A1:GR1000"/>
  <sheetViews>
    <sheetView topLeftCell="A1" workbookViewId="0">
      <pane ySplit="2" topLeftCell="A18" activePane="bottomLeft" state="frozen"/>
      <selection pane="bottomLeft" activeCell="B27" sqref="B27:E27"/>
    </sheetView>
  </sheetViews>
  <sheetFormatPr defaultRowHeight="15" defaultColWidth="8.8515625" customHeight="1"/>
  <cols>
    <col min="1" max="1" width="0.7109375" customWidth="1"/>
    <col min="2" max="2" width="1.140625" customWidth="1"/>
    <col min="3" max="3" width="6.8515625" customWidth="1"/>
    <col min="4" max="4" width="2.8515625" customWidth="1"/>
    <col min="5" max="5" width="3.140625" customWidth="1"/>
  </cols>
  <sheetData>
    <row r="1" ht="21" customHeight="1">
      <c r="A1" s="19" t="s">
        <v>38</v>
      </c>
    </row>
    <row r="2" ht="15.75" customHeight="1">
      <c r="B2" s="20" t="s">
        <v>39</v>
      </c>
      <c r="C2" s="20" t="s">
        <v>7</v>
      </c>
      <c r="D2" s="20" t="s">
        <v>40</v>
      </c>
      <c r="E2" s="20" t="s">
        <v>41</v>
      </c>
    </row>
    <row r="3" ht="19.5" customHeight="1">
      <c r="B3" s="21">
        <v>1</v>
      </c>
      <c r="C3" s="22" t="s">
        <v>42</v>
      </c>
      <c r="D3" s="23">
        <v>9000</v>
      </c>
      <c r="E3" s="24" t="s">
        <v>43</v>
      </c>
    </row>
    <row r="4" ht="19.5" customHeight="1">
      <c r="B4" s="25">
        <v>2</v>
      </c>
      <c r="C4" s="26" t="s">
        <v>44</v>
      </c>
      <c r="D4" s="27">
        <v>6000</v>
      </c>
      <c r="E4" s="24" t="s">
        <v>43</v>
      </c>
    </row>
    <row r="5" ht="19.5" customHeight="1">
      <c r="B5" s="21">
        <v>3</v>
      </c>
      <c r="C5" s="22" t="s">
        <v>45</v>
      </c>
      <c r="D5" s="23">
        <v>6000</v>
      </c>
      <c r="E5" s="24" t="s">
        <v>43</v>
      </c>
    </row>
    <row r="6" ht="19.5" customHeight="1">
      <c r="B6" s="25">
        <v>4</v>
      </c>
      <c r="C6" s="26" t="s">
        <v>46</v>
      </c>
      <c r="D6" s="27">
        <v>5000</v>
      </c>
      <c r="E6" s="24" t="s">
        <v>43</v>
      </c>
    </row>
    <row r="7" ht="19.5" customHeight="1">
      <c r="B7" s="21">
        <v>5</v>
      </c>
      <c r="C7" s="22" t="s">
        <v>13</v>
      </c>
      <c r="D7" s="23">
        <v>3000</v>
      </c>
      <c r="E7" s="28" t="s">
        <v>47</v>
      </c>
    </row>
    <row r="8" ht="19.5" customHeight="1">
      <c r="B8" s="25">
        <v>6</v>
      </c>
      <c r="C8" s="26" t="s">
        <v>48</v>
      </c>
      <c r="D8" s="27">
        <v>3000</v>
      </c>
      <c r="E8" s="28" t="s">
        <v>47</v>
      </c>
    </row>
    <row r="9" ht="19.5" customHeight="1">
      <c r="B9" s="21">
        <v>7</v>
      </c>
      <c r="C9" s="22" t="s">
        <v>49</v>
      </c>
      <c r="D9" s="23">
        <v>2000</v>
      </c>
      <c r="E9" s="29" t="s">
        <v>50</v>
      </c>
    </row>
    <row r="10" ht="19.5" customHeight="1">
      <c r="B10" s="25">
        <v>8</v>
      </c>
      <c r="C10" s="26" t="s">
        <v>23</v>
      </c>
      <c r="D10" s="27">
        <v>1000</v>
      </c>
      <c r="E10" s="29" t="s">
        <v>50</v>
      </c>
    </row>
    <row r="11" ht="19.5" customHeight="1">
      <c r="B11" s="21">
        <v>9</v>
      </c>
      <c r="C11" s="22" t="s">
        <v>16</v>
      </c>
      <c r="D11" s="23">
        <v>900</v>
      </c>
      <c r="E11" s="29" t="s">
        <v>50</v>
      </c>
    </row>
    <row r="12" ht="19.5" customHeight="1">
      <c r="B12" s="25">
        <v>10</v>
      </c>
      <c r="C12" s="26" t="s">
        <v>51</v>
      </c>
      <c r="D12" s="27">
        <v>900</v>
      </c>
      <c r="E12" s="29" t="s">
        <v>50</v>
      </c>
    </row>
    <row r="13" ht="19.5" customHeight="1">
      <c r="B13" s="21">
        <v>11</v>
      </c>
      <c r="C13" s="22" t="s">
        <v>17</v>
      </c>
      <c r="D13" s="23">
        <v>500</v>
      </c>
      <c r="E13" s="30" t="s">
        <v>52</v>
      </c>
    </row>
    <row r="14" ht="19.5" customHeight="1">
      <c r="B14" s="25">
        <v>12</v>
      </c>
      <c r="C14" s="26" t="s">
        <v>18</v>
      </c>
      <c r="D14" s="27">
        <v>500</v>
      </c>
      <c r="E14" s="30" t="s">
        <v>52</v>
      </c>
    </row>
    <row r="15" ht="19.5" customHeight="1">
      <c r="B15" s="21">
        <v>13</v>
      </c>
      <c r="C15" s="22" t="s">
        <v>24</v>
      </c>
      <c r="D15" s="23">
        <v>500</v>
      </c>
      <c r="E15" s="30" t="s">
        <v>52</v>
      </c>
    </row>
    <row r="16" ht="19.5" customHeight="1">
      <c r="B16" s="25">
        <v>14</v>
      </c>
      <c r="C16" s="26" t="s">
        <v>28</v>
      </c>
      <c r="D16" s="27">
        <v>500</v>
      </c>
      <c r="E16" s="30" t="s">
        <v>52</v>
      </c>
    </row>
    <row r="17" ht="19.5" customHeight="1">
      <c r="B17" s="21">
        <v>15</v>
      </c>
      <c r="C17" s="22" t="s">
        <v>25</v>
      </c>
      <c r="D17" s="23">
        <v>300</v>
      </c>
      <c r="E17" s="30" t="s">
        <v>52</v>
      </c>
    </row>
    <row r="18" ht="19.5" customHeight="1">
      <c r="B18" s="25">
        <v>16</v>
      </c>
      <c r="C18" s="26" t="s">
        <v>53</v>
      </c>
      <c r="D18" s="27">
        <v>300</v>
      </c>
      <c r="E18" s="30" t="s">
        <v>52</v>
      </c>
    </row>
    <row r="19" ht="19.5" customHeight="1">
      <c r="B19" s="21">
        <v>17</v>
      </c>
      <c r="C19" s="22" t="s">
        <v>54</v>
      </c>
      <c r="D19" s="23">
        <v>300</v>
      </c>
      <c r="E19" s="30" t="s">
        <v>52</v>
      </c>
    </row>
    <row r="20" ht="19.5" customHeight="1">
      <c r="B20" s="25">
        <v>18</v>
      </c>
      <c r="C20" s="26" t="s">
        <v>19</v>
      </c>
      <c r="D20" s="27">
        <v>150</v>
      </c>
      <c r="E20" s="31" t="s">
        <v>55</v>
      </c>
    </row>
    <row r="21" ht="19.5" customHeight="1">
      <c r="B21" s="21">
        <v>19</v>
      </c>
      <c r="C21" s="22" t="s">
        <v>26</v>
      </c>
      <c r="D21" s="23">
        <v>150</v>
      </c>
      <c r="E21" s="31" t="s">
        <v>55</v>
      </c>
    </row>
    <row r="22" ht="19.5" customHeight="1">
      <c r="B22" s="25">
        <v>20</v>
      </c>
      <c r="C22" s="26" t="s">
        <v>56</v>
      </c>
      <c r="D22" s="27">
        <v>150</v>
      </c>
      <c r="E22" s="31" t="s">
        <v>55</v>
      </c>
    </row>
    <row r="23" ht="19.5" customHeight="1">
      <c r="B23" s="21">
        <v>21</v>
      </c>
      <c r="C23" s="22" t="s">
        <v>27</v>
      </c>
      <c r="D23" s="23">
        <v>100</v>
      </c>
      <c r="E23" s="31" t="s">
        <v>55</v>
      </c>
    </row>
    <row r="24" ht="19.5" customHeight="1">
      <c r="B24" s="25">
        <v>22</v>
      </c>
      <c r="C24" s="26" t="s">
        <v>57</v>
      </c>
      <c r="D24" s="27">
        <v>100</v>
      </c>
      <c r="E24" s="31" t="s">
        <v>55</v>
      </c>
    </row>
    <row r="25" ht="19.5" customHeight="1">
      <c r="B25" s="21">
        <v>23</v>
      </c>
      <c r="C25" s="22" t="s">
        <v>58</v>
      </c>
      <c r="D25" s="23">
        <v>100</v>
      </c>
      <c r="E25" s="31" t="s">
        <v>55</v>
      </c>
    </row>
    <row r="27" ht="18.75" customHeight="1">
      <c r="B27" s="32" t="s">
        <v>59</v>
      </c>
    </row>
    <row r="28" ht="16.5" customHeight="1">
      <c r="B28" s="33" t="s">
        <v>60</v>
      </c>
    </row>
  </sheetData>
  <mergeCells>
    <mergeCell ref="A1:E1"/>
    <mergeCell ref="B27:E27"/>
    <mergeCell ref="B28:E28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2026-05-30T11:04:47Z</dcterms:created>
</cp:coreProperties>
</file>