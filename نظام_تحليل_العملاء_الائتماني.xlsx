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. لوحة التحكم" sheetId="1" state="visible" r:id="rId1"/>
    <sheet name="1. بيانات العميل" sheetId="2" state="visible" r:id="rId2"/>
    <sheet name="2. الالتزامات" sheetId="3" state="visible" r:id="rId3"/>
    <sheet name="3. التنفيذات" sheetId="4" state="visible" r:id="rId4"/>
    <sheet name="4. محرك المخاطر" sheetId="5" state="visible" r:id="rId5"/>
    <sheet name="5. الجدوى التمويلية" sheetId="6" state="visible" r:id="rId6"/>
    <sheet name="6. الاعتمادات" sheetId="7" state="visible" r:id="rId7"/>
    <sheet name="7. أمر تنفيذ - تقرير" sheetId="8" state="visible" r:id="rId8"/>
    <sheet name="الإعدادات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dd/mm/yyyy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color rgb="FFF0D080"/>
      <sz val="10"/>
    </font>
    <font>
      <name val="Arial"/>
      <charset val="1"/>
      <family val="0"/>
      <i val="1"/>
      <color rgb="FFFFFFFF"/>
      <sz val="9"/>
    </font>
    <font>
      <name val="Arial"/>
      <charset val="1"/>
      <family val="0"/>
      <i val="1"/>
      <color rgb="FF1B2A4A"/>
      <sz val="9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1B2A4A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B2A4A"/>
      <sz val="12"/>
    </font>
    <font>
      <name val="Arial"/>
      <charset val="1"/>
      <family val="0"/>
      <color rgb="FF4A5568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1B2A4A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F0D080"/>
      <sz val="9"/>
    </font>
    <font>
      <name val="Arial"/>
      <charset val="1"/>
      <family val="0"/>
      <b val="1"/>
      <color rgb="FF1B2A4A"/>
      <sz val="9"/>
    </font>
    <font>
      <name val="Arial"/>
      <charset val="1"/>
      <family val="0"/>
      <color rgb="FF4A5568"/>
      <sz val="8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2A4A"/>
      <sz val="11"/>
    </font>
    <font>
      <name val="Arial"/>
      <charset val="1"/>
      <family val="0"/>
      <color rgb="FFF0D080"/>
      <sz val="12"/>
    </font>
    <font>
      <name val="Arial"/>
      <charset val="1"/>
      <family val="0"/>
      <b val="1"/>
      <color rgb="FF0000FF"/>
      <sz val="13"/>
    </font>
    <font>
      <name val="Arial"/>
      <charset val="1"/>
      <family val="0"/>
      <color rgb="FF4A5568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FFFFFF"/>
      <sz val="8"/>
    </font>
  </fonts>
  <fills count="19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172"/>
        <bgColor rgb="FF4A5568"/>
      </patternFill>
    </fill>
    <fill>
      <patternFill patternType="solid">
        <fgColor rgb="FF1A6B3A"/>
        <bgColor rgb="FF008080"/>
      </patternFill>
    </fill>
    <fill>
      <patternFill patternType="solid">
        <fgColor rgb="FFE74C3C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3D5A99"/>
        <bgColor rgb="FF4A5568"/>
      </patternFill>
    </fill>
    <fill>
      <patternFill patternType="solid">
        <fgColor rgb="FF4A5568"/>
        <bgColor rgb="FF3D5A99"/>
      </patternFill>
    </fill>
    <fill>
      <patternFill patternType="solid">
        <fgColor rgb="FFC9A227"/>
        <bgColor rgb="FFF39C12"/>
      </patternFill>
    </fill>
    <fill>
      <patternFill patternType="solid">
        <fgColor rgb="FF27AE60"/>
        <bgColor rgb="FF008080"/>
      </patternFill>
    </fill>
    <fill>
      <patternFill patternType="solid">
        <fgColor rgb="FFF5F7FA"/>
        <bgColor rgb="FFEEF2F8"/>
      </patternFill>
    </fill>
    <fill>
      <patternFill patternType="solid">
        <fgColor rgb="FFE8ECF2"/>
        <bgColor rgb="FFEEF2F8"/>
      </patternFill>
    </fill>
    <fill>
      <patternFill patternType="solid">
        <fgColor rgb="FFF39C12"/>
        <bgColor rgb="FFC9A227"/>
      </patternFill>
    </fill>
    <fill>
      <patternFill patternType="solid">
        <fgColor rgb="FFEEF2F8"/>
        <bgColor rgb="FFEBF5FB"/>
      </patternFill>
    </fill>
    <fill>
      <patternFill patternType="solid">
        <fgColor rgb="FFFFF9C4"/>
        <bgColor rgb="FFFFF3CD"/>
      </patternFill>
    </fill>
    <fill>
      <patternFill patternType="solid">
        <fgColor rgb="FFEBF5FB"/>
        <bgColor rgb="FFEEF2F8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BF5FB"/>
      </patternFill>
    </fill>
  </fills>
  <borders count="1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CC5D4"/>
      </left>
      <right style="thin">
        <color rgb="FFBCC5D4"/>
      </right>
      <top style="thin">
        <color rgb="FFBCC5D4"/>
      </top>
      <bottom style="thin">
        <color rgb="FFBCC5D4"/>
      </bottom>
      <diagonal/>
    </border>
    <border>
      <left style="thin">
        <color rgb="FF5DADE2"/>
      </left>
      <right style="thin">
        <color rgb="FF5DADE2"/>
      </right>
      <top style="thin">
        <color rgb="FFDDDDDD"/>
      </top>
      <bottom style="thin">
        <color rgb="FFDDDDDD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ck">
        <color rgb="FFC9A227"/>
      </left>
      <right style="thick">
        <color rgb="FFC9A227"/>
      </right>
      <top style="thick">
        <color rgb="FFC9A227"/>
      </top>
      <bottom style="thick">
        <color rgb="FFC9A227"/>
      </bottom>
      <diagonal/>
    </border>
    <border>
      <left style="thin">
        <color rgb="FFBCC5D4"/>
      </left>
      <right/>
      <top style="thin">
        <color rgb="FFBCC5D4"/>
      </top>
      <bottom style="thin">
        <color rgb="FFBCC5D4"/>
      </bottom>
      <diagonal/>
    </border>
    <border>
      <left style="medium">
        <color rgb="FF3D5A99"/>
      </left>
      <right/>
      <top style="medium">
        <color rgb="FF3D5A99"/>
      </top>
      <bottom style="medium">
        <color rgb="FF3D5A99"/>
      </bottom>
      <diagonal/>
    </border>
    <border>
      <left style="thin">
        <color rgb="FF2E4172"/>
      </left>
      <right style="thin">
        <color rgb="FF2E4172"/>
      </right>
      <top style="thin">
        <color rgb="FF2E4172"/>
      </top>
      <bottom style="thin">
        <color rgb="FF2E4172"/>
      </bottom>
      <diagonal/>
    </border>
    <border>
      <left style="medium">
        <color rgb="FF5DADE2"/>
      </left>
      <right style="medium">
        <color rgb="FF5DADE2"/>
      </right>
      <top style="medium">
        <color rgb="FF5DADE2"/>
      </top>
      <bottom style="medium">
        <color rgb="FF5DADE2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BCC5D4"/>
      </top>
      <bottom/>
      <diagonal/>
    </border>
    <border>
      <left/>
      <right/>
      <top style="thin">
        <color rgb="FFBCC5D4"/>
      </top>
      <bottom style="thin">
        <color rgb="FFBCC5D4"/>
      </bottom>
      <diagonal/>
    </border>
    <border>
      <left/>
      <right/>
      <top style="medium">
        <color rgb="FF3D5A99"/>
      </top>
      <bottom/>
      <diagonal/>
    </border>
    <border>
      <left/>
      <right/>
      <top style="medium">
        <color rgb="FF3D5A99"/>
      </top>
      <bottom style="medium">
        <color rgb="FF3D5A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readingOrder="2"/>
    </xf>
    <xf numFmtId="0" fontId="5" fillId="3" borderId="0" applyAlignment="1" pivotButton="0" quotePrefix="0" xfId="0">
      <alignment horizontal="center"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6" fillId="3" borderId="1" applyAlignment="1" pivotButton="0" quotePrefix="0" xfId="0">
      <alignment horizontal="center" vertical="center" wrapText="1" readingOrder="2"/>
    </xf>
    <xf numFmtId="0" fontId="6" fillId="8" borderId="1" applyAlignment="1" pivotButton="0" quotePrefix="0" xfId="0">
      <alignment horizontal="center" vertical="center" wrapText="1" readingOrder="2"/>
    </xf>
    <xf numFmtId="0" fontId="7" fillId="9" borderId="1" applyAlignment="1" pivotButton="0" quotePrefix="0" xfId="0">
      <alignment horizontal="center" vertical="center" wrapText="1" readingOrder="2"/>
    </xf>
    <xf numFmtId="0" fontId="8" fillId="2" borderId="2" applyAlignment="1" pivotButton="0" quotePrefix="0" xfId="0">
      <alignment horizontal="center" vertical="center" readingOrder="2"/>
    </xf>
    <xf numFmtId="0" fontId="8" fillId="4" borderId="2" applyAlignment="1" pivotButton="0" quotePrefix="0" xfId="0">
      <alignment horizontal="center" vertical="center" readingOrder="2"/>
    </xf>
    <xf numFmtId="0" fontId="8" fillId="5" borderId="2" applyAlignment="1" pivotButton="0" quotePrefix="0" xfId="0">
      <alignment horizontal="center" vertical="center" readingOrder="2"/>
    </xf>
    <xf numFmtId="0" fontId="8" fillId="6" borderId="2" applyAlignment="1" pivotButton="0" quotePrefix="0" xfId="0">
      <alignment horizontal="center" vertical="center" readingOrder="2"/>
    </xf>
    <xf numFmtId="164" fontId="8" fillId="7" borderId="2" applyAlignment="1" pivotButton="0" quotePrefix="0" xfId="0">
      <alignment horizontal="center" vertical="center" readingOrder="2"/>
    </xf>
    <xf numFmtId="3" fontId="8" fillId="3" borderId="2" applyAlignment="1" pivotButton="0" quotePrefix="0" xfId="0">
      <alignment horizontal="center" vertical="center" readingOrder="2"/>
    </xf>
    <xf numFmtId="3" fontId="8" fillId="8" borderId="2" applyAlignment="1" pivotButton="0" quotePrefix="0" xfId="0">
      <alignment horizontal="center" vertical="center" readingOrder="2"/>
    </xf>
    <xf numFmtId="1" fontId="9" fillId="9" borderId="2" applyAlignment="1" pivotButton="0" quotePrefix="0" xfId="0">
      <alignment horizontal="center" vertical="center" readingOrder="2"/>
    </xf>
    <xf numFmtId="0" fontId="10" fillId="3" borderId="0" applyAlignment="1" pivotButton="0" quotePrefix="0" xfId="0">
      <alignment horizontal="center" vertical="center" readingOrder="2"/>
    </xf>
    <xf numFmtId="0" fontId="10" fillId="2" borderId="0" applyAlignment="1" pivotButton="0" quotePrefix="0" xfId="0">
      <alignment horizontal="center" vertical="center" readingOrder="2"/>
    </xf>
    <xf numFmtId="0" fontId="11" fillId="3" borderId="3" applyAlignment="1" pivotButton="0" quotePrefix="0" xfId="0">
      <alignment horizontal="center" vertical="center" readingOrder="2"/>
    </xf>
    <xf numFmtId="0" fontId="11" fillId="2" borderId="3" applyAlignment="1" pivotButton="0" quotePrefix="0" xfId="0">
      <alignment horizontal="center" vertical="center" readingOrder="2"/>
    </xf>
    <xf numFmtId="0" fontId="11" fillId="10" borderId="4" applyAlignment="1" pivotButton="0" quotePrefix="0" xfId="0">
      <alignment horizontal="right" vertical="center" readingOrder="2"/>
    </xf>
    <xf numFmtId="0" fontId="12" fillId="11" borderId="4" applyAlignment="1" pivotButton="0" quotePrefix="0" xfId="0">
      <alignment horizontal="center" vertical="center" readingOrder="2"/>
    </xf>
    <xf numFmtId="165" fontId="13" fillId="11" borderId="4" applyAlignment="1" pivotButton="0" quotePrefix="0" xfId="0">
      <alignment horizontal="center" vertical="center" readingOrder="2"/>
    </xf>
    <xf numFmtId="165" fontId="13" fillId="12" borderId="4" applyAlignment="1" pivotButton="0" quotePrefix="0" xfId="0">
      <alignment horizontal="center" vertical="center" readingOrder="2"/>
    </xf>
    <xf numFmtId="0" fontId="11" fillId="13" borderId="4" applyAlignment="1" pivotButton="0" quotePrefix="0" xfId="0">
      <alignment horizontal="right" vertical="center" readingOrder="2"/>
    </xf>
    <xf numFmtId="0" fontId="11" fillId="6" borderId="4" applyAlignment="1" pivotButton="0" quotePrefix="0" xfId="0">
      <alignment horizontal="right" vertical="center" readingOrder="2"/>
    </xf>
    <xf numFmtId="0" fontId="11" fillId="5" borderId="4" applyAlignment="1" pivotButton="0" quotePrefix="0" xfId="0">
      <alignment horizontal="right" vertical="center" readingOrder="2"/>
    </xf>
    <xf numFmtId="0" fontId="14" fillId="3" borderId="3" applyAlignment="1" pivotButton="0" quotePrefix="0" xfId="0">
      <alignment horizontal="center" vertical="center" wrapText="1" readingOrder="2"/>
    </xf>
    <xf numFmtId="0" fontId="14" fillId="2" borderId="3" applyAlignment="1" pivotButton="0" quotePrefix="0" xfId="0">
      <alignment horizontal="center" vertical="center" wrapText="1" readingOrder="2"/>
    </xf>
    <xf numFmtId="0" fontId="15" fillId="14" borderId="4" applyAlignment="1" pivotButton="0" quotePrefix="0" xfId="0">
      <alignment horizontal="center" vertical="center" readingOrder="2"/>
    </xf>
    <xf numFmtId="0" fontId="15" fillId="14" borderId="4" applyAlignment="1" pivotButton="0" quotePrefix="0" xfId="0">
      <alignment horizontal="right" vertical="center" readingOrder="2"/>
    </xf>
    <xf numFmtId="165" fontId="15" fillId="14" borderId="4" applyAlignment="1" pivotButton="0" quotePrefix="0" xfId="0">
      <alignment horizontal="center" vertical="center" readingOrder="2"/>
    </xf>
    <xf numFmtId="3" fontId="15" fillId="14" borderId="4" applyAlignment="1" pivotButton="0" quotePrefix="0" xfId="0">
      <alignment horizontal="center" vertical="center" readingOrder="2"/>
    </xf>
    <xf numFmtId="0" fontId="15" fillId="11" borderId="4" applyAlignment="1" pivotButton="0" quotePrefix="0" xfId="0">
      <alignment horizontal="center" vertical="center" readingOrder="2"/>
    </xf>
    <xf numFmtId="0" fontId="15" fillId="11" borderId="4" applyAlignment="1" pivotButton="0" quotePrefix="0" xfId="0">
      <alignment horizontal="right" vertical="center" readingOrder="2"/>
    </xf>
    <xf numFmtId="165" fontId="15" fillId="11" borderId="4" applyAlignment="1" pivotButton="0" quotePrefix="0" xfId="0">
      <alignment horizontal="center" vertical="center" readingOrder="2"/>
    </xf>
    <xf numFmtId="3" fontId="15" fillId="11" borderId="4" applyAlignment="1" pivotButton="0" quotePrefix="0" xfId="0">
      <alignment horizontal="center" vertical="center" readingOrder="2"/>
    </xf>
    <xf numFmtId="0" fontId="16" fillId="2" borderId="0" applyAlignment="1" pivotButton="0" quotePrefix="0" xfId="0">
      <alignment horizontal="center" vertical="center" readingOrder="2"/>
    </xf>
    <xf numFmtId="0" fontId="17" fillId="3" borderId="0" applyAlignment="1" pivotButton="0" quotePrefix="0" xfId="0">
      <alignment horizontal="center" vertical="center" readingOrder="2"/>
    </xf>
    <xf numFmtId="0" fontId="18" fillId="12" borderId="4" applyAlignment="1" pivotButton="0" quotePrefix="0" xfId="0">
      <alignment horizontal="center" vertical="center" readingOrder="2"/>
    </xf>
    <xf numFmtId="166" fontId="15" fillId="12" borderId="4" applyAlignment="1" pivotButton="0" quotePrefix="0" xfId="0">
      <alignment horizontal="center" vertical="center" readingOrder="2"/>
    </xf>
    <xf numFmtId="0" fontId="15" fillId="15" borderId="5" applyAlignment="1" pivotButton="0" quotePrefix="0" xfId="0">
      <alignment horizontal="right" vertical="center" readingOrder="2"/>
    </xf>
    <xf numFmtId="0" fontId="15" fillId="15" borderId="5" applyAlignment="1" pivotButton="0" quotePrefix="0" xfId="0">
      <alignment horizontal="center" vertical="center" readingOrder="2"/>
    </xf>
    <xf numFmtId="0" fontId="15" fillId="16" borderId="4" applyAlignment="1" pivotButton="0" quotePrefix="0" xfId="0">
      <alignment horizontal="center" vertical="center" readingOrder="2"/>
    </xf>
    <xf numFmtId="0" fontId="19" fillId="0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center" vertical="center" readingOrder="2"/>
    </xf>
    <xf numFmtId="0" fontId="15" fillId="12" borderId="4" applyAlignment="1" pivotButton="0" quotePrefix="0" xfId="0">
      <alignment horizontal="right" vertical="center" readingOrder="2"/>
    </xf>
    <xf numFmtId="3" fontId="15" fillId="15" borderId="5" applyAlignment="1" pivotButton="0" quotePrefix="0" xfId="0">
      <alignment horizontal="center" vertical="center" readingOrder="2"/>
    </xf>
    <xf numFmtId="3" fontId="18" fillId="16" borderId="4" applyAlignment="1" pivotButton="0" quotePrefix="0" xfId="0">
      <alignment horizontal="center" vertical="center" readingOrder="2"/>
    </xf>
    <xf numFmtId="3" fontId="15" fillId="12" borderId="4" applyAlignment="1" pivotButton="0" quotePrefix="0" xfId="0">
      <alignment horizontal="center" vertical="center" readingOrder="2"/>
    </xf>
    <xf numFmtId="165" fontId="18" fillId="16" borderId="4" applyAlignment="1" pivotButton="0" quotePrefix="0" xfId="0">
      <alignment horizontal="center" vertical="center" readingOrder="2"/>
    </xf>
    <xf numFmtId="0" fontId="14" fillId="5" borderId="3" applyAlignment="1" pivotButton="0" quotePrefix="0" xfId="0">
      <alignment horizontal="center" vertical="center" wrapText="1" readingOrder="2"/>
    </xf>
    <xf numFmtId="0" fontId="18" fillId="16" borderId="4" applyAlignment="1" pivotButton="0" quotePrefix="0" xfId="0">
      <alignment horizontal="center" vertical="center" readingOrder="2"/>
    </xf>
    <xf numFmtId="0" fontId="21" fillId="2" borderId="0" applyAlignment="1" pivotButton="0" quotePrefix="0" xfId="0">
      <alignment horizontal="center" vertical="center" readingOrder="2"/>
    </xf>
    <xf numFmtId="0" fontId="15" fillId="12" borderId="4" applyAlignment="1" pivotButton="0" quotePrefix="0" xfId="0">
      <alignment horizontal="center" vertical="center" readingOrder="2"/>
    </xf>
    <xf numFmtId="165" fontId="15" fillId="12" borderId="4" applyAlignment="1" pivotButton="0" quotePrefix="0" xfId="0">
      <alignment horizontal="center" vertical="center" readingOrder="2"/>
    </xf>
    <xf numFmtId="0" fontId="22" fillId="7" borderId="6" applyAlignment="1" pivotButton="0" quotePrefix="0" xfId="0">
      <alignment horizontal="center" vertical="center" readingOrder="2"/>
    </xf>
    <xf numFmtId="165" fontId="11" fillId="7" borderId="4" applyAlignment="1" pivotButton="0" quotePrefix="0" xfId="0">
      <alignment horizontal="center" vertical="center" readingOrder="2"/>
    </xf>
    <xf numFmtId="0" fontId="23" fillId="16" borderId="6" applyAlignment="1" pivotButton="0" quotePrefix="0" xfId="0">
      <alignment horizontal="center" vertical="center" readingOrder="2"/>
    </xf>
    <xf numFmtId="165" fontId="15" fillId="15" borderId="5" applyAlignment="1" pivotButton="0" quotePrefix="0" xfId="0">
      <alignment horizontal="center" vertical="center" readingOrder="2"/>
    </xf>
    <xf numFmtId="3" fontId="22" fillId="7" borderId="6" applyAlignment="1" pivotButton="0" quotePrefix="0" xfId="0">
      <alignment horizontal="center" vertical="center" readingOrder="2"/>
    </xf>
    <xf numFmtId="0" fontId="14" fillId="9" borderId="3" applyAlignment="1" pivotButton="0" quotePrefix="0" xfId="0">
      <alignment horizontal="center" vertical="center" wrapText="1" readingOrder="2"/>
    </xf>
    <xf numFmtId="0" fontId="14" fillId="6" borderId="3" applyAlignment="1" pivotButton="0" quotePrefix="0" xfId="0">
      <alignment horizontal="center" vertical="center" wrapText="1" readingOrder="2"/>
    </xf>
    <xf numFmtId="166" fontId="15" fillId="15" borderId="5" applyAlignment="1" pivotButton="0" quotePrefix="0" xfId="0">
      <alignment horizontal="center" vertical="center" readingOrder="2"/>
    </xf>
    <xf numFmtId="0" fontId="24" fillId="3" borderId="0" applyAlignment="1" pivotButton="0" quotePrefix="0" xfId="0">
      <alignment horizontal="center" vertical="center" readingOrder="2"/>
    </xf>
    <xf numFmtId="0" fontId="10" fillId="7" borderId="0" applyAlignment="1" pivotButton="0" quotePrefix="0" xfId="0">
      <alignment horizontal="right" vertical="center" readingOrder="2"/>
    </xf>
    <xf numFmtId="0" fontId="25" fillId="15" borderId="7" applyAlignment="1" pivotButton="0" quotePrefix="0" xfId="0">
      <alignment horizontal="center" vertical="center" readingOrder="2"/>
    </xf>
    <xf numFmtId="0" fontId="13" fillId="17" borderId="0" applyAlignment="1" pivotButton="0" quotePrefix="0" xfId="0">
      <alignment horizontal="right" vertical="center" readingOrder="2"/>
    </xf>
    <xf numFmtId="0" fontId="22" fillId="2" borderId="0" applyAlignment="1" pivotButton="0" quotePrefix="0" xfId="0">
      <alignment horizontal="right" vertical="center" readingOrder="2"/>
    </xf>
    <xf numFmtId="0" fontId="18" fillId="12" borderId="8" applyAlignment="1" pivotButton="0" quotePrefix="0" xfId="0">
      <alignment horizontal="right" vertical="center" readingOrder="2"/>
    </xf>
    <xf numFmtId="0" fontId="15" fillId="12" borderId="9" applyAlignment="1" pivotButton="0" quotePrefix="0" xfId="0">
      <alignment horizontal="center" vertical="center" readingOrder="2"/>
    </xf>
    <xf numFmtId="0" fontId="15" fillId="11" borderId="9" applyAlignment="1" pivotButton="0" quotePrefix="0" xfId="0">
      <alignment horizontal="center" vertical="center" readingOrder="2"/>
    </xf>
    <xf numFmtId="3" fontId="15" fillId="11" borderId="9" applyAlignment="1" pivotButton="0" quotePrefix="0" xfId="0">
      <alignment horizontal="center" vertical="center" readingOrder="2"/>
    </xf>
    <xf numFmtId="0" fontId="22" fillId="3" borderId="0" applyAlignment="1" pivotButton="0" quotePrefix="0" xfId="0">
      <alignment horizontal="right" vertical="center" readingOrder="2"/>
    </xf>
    <xf numFmtId="165" fontId="15" fillId="11" borderId="9" applyAlignment="1" pivotButton="0" quotePrefix="0" xfId="0">
      <alignment horizontal="center" vertical="center" readingOrder="2"/>
    </xf>
    <xf numFmtId="0" fontId="23" fillId="11" borderId="9" applyAlignment="1" pivotButton="0" quotePrefix="0" xfId="0">
      <alignment horizontal="center" vertical="center" readingOrder="2"/>
    </xf>
    <xf numFmtId="0" fontId="23" fillId="16" borderId="9" applyAlignment="1" pivotButton="0" quotePrefix="0" xfId="0">
      <alignment horizontal="center" vertical="center" readingOrder="2"/>
    </xf>
    <xf numFmtId="0" fontId="22" fillId="5" borderId="0" applyAlignment="1" pivotButton="0" quotePrefix="0" xfId="0">
      <alignment horizontal="right" vertical="center" readingOrder="2"/>
    </xf>
    <xf numFmtId="0" fontId="22" fillId="4" borderId="0" applyAlignment="1" pivotButton="0" quotePrefix="0" xfId="0">
      <alignment horizontal="right" vertical="center" readingOrder="2"/>
    </xf>
    <xf numFmtId="3" fontId="23" fillId="11" borderId="9" applyAlignment="1" pivotButton="0" quotePrefix="0" xfId="0">
      <alignment horizontal="center" vertical="center" readingOrder="2"/>
    </xf>
    <xf numFmtId="3" fontId="23" fillId="18" borderId="9" applyAlignment="1" pivotButton="0" quotePrefix="0" xfId="0">
      <alignment horizontal="center" vertical="center" readingOrder="2"/>
    </xf>
    <xf numFmtId="0" fontId="22" fillId="9" borderId="0" applyAlignment="1" pivotButton="0" quotePrefix="0" xfId="0">
      <alignment horizontal="right" vertical="center" readingOrder="2"/>
    </xf>
    <xf numFmtId="0" fontId="22" fillId="8" borderId="0" applyAlignment="1" pivotButton="0" quotePrefix="0" xfId="0">
      <alignment horizontal="right" vertical="center" readingOrder="2"/>
    </xf>
    <xf numFmtId="0" fontId="26" fillId="11" borderId="8" applyAlignment="1" pivotButton="0" quotePrefix="0" xfId="0">
      <alignment horizontal="center" vertical="center" readingOrder="2"/>
    </xf>
    <xf numFmtId="0" fontId="27" fillId="2" borderId="0" applyAlignment="1" pivotButton="0" quotePrefix="0" xfId="0">
      <alignment horizontal="center" vertical="center" readingOrder="2"/>
    </xf>
    <xf numFmtId="0" fontId="22" fillId="3" borderId="0" applyAlignment="1" pivotButton="0" quotePrefix="0" xfId="0">
      <alignment horizontal="center" vertical="center" readingOrder="2"/>
    </xf>
    <xf numFmtId="0" fontId="11" fillId="7" borderId="10" applyAlignment="1" pivotButton="0" quotePrefix="0" xfId="0">
      <alignment horizontal="center" vertical="center" wrapText="1" readingOrder="2"/>
    </xf>
    <xf numFmtId="0" fontId="11" fillId="7" borderId="0" applyAlignment="1" pivotButton="0" quotePrefix="0" xfId="0">
      <alignment horizontal="center" vertical="center" readingOrder="2"/>
    </xf>
    <xf numFmtId="0" fontId="18" fillId="12" borderId="0" applyAlignment="1" pivotButton="0" quotePrefix="0" xfId="0">
      <alignment horizontal="right" vertical="center" readingOrder="2"/>
    </xf>
    <xf numFmtId="0" fontId="28" fillId="15" borderId="11" applyAlignment="1" pivotButton="0" quotePrefix="0" xfId="0">
      <alignment horizontal="center" vertical="center" readingOrder="2"/>
    </xf>
    <xf numFmtId="0" fontId="13" fillId="11" borderId="0" applyAlignment="1" pivotButton="0" quotePrefix="0" xfId="0">
      <alignment horizontal="right" vertical="center" readingOrder="2"/>
    </xf>
    <xf numFmtId="0" fontId="13" fillId="11" borderId="0" applyAlignment="1" pivotButton="0" quotePrefix="0" xfId="0">
      <alignment horizontal="center" vertical="center" readingOrder="2"/>
    </xf>
    <xf numFmtId="0" fontId="11" fillId="10" borderId="0" applyAlignment="1" pivotButton="0" quotePrefix="0" xfId="0">
      <alignment horizontal="right" vertical="center" readingOrder="2"/>
    </xf>
    <xf numFmtId="0" fontId="29" fillId="10" borderId="0" applyAlignment="1" pivotButton="0" quotePrefix="0" xfId="0">
      <alignment horizontal="center" vertical="center" readingOrder="2"/>
    </xf>
    <xf numFmtId="0" fontId="11" fillId="13" borderId="0" applyAlignment="1" pivotButton="0" quotePrefix="0" xfId="0">
      <alignment horizontal="right" vertical="center" readingOrder="2"/>
    </xf>
    <xf numFmtId="0" fontId="29" fillId="13" borderId="0" applyAlignment="1" pivotButton="0" quotePrefix="0" xfId="0">
      <alignment horizontal="center" vertical="center" readingOrder="2"/>
    </xf>
    <xf numFmtId="0" fontId="11" fillId="6" borderId="0" applyAlignment="1" pivotButton="0" quotePrefix="0" xfId="0">
      <alignment horizontal="right" vertical="center" readingOrder="2"/>
    </xf>
    <xf numFmtId="0" fontId="29" fillId="6" borderId="0" applyAlignment="1" pivotButton="0" quotePrefix="0" xfId="0">
      <alignment horizontal="center" vertical="center" readingOrder="2"/>
    </xf>
    <xf numFmtId="0" fontId="11" fillId="5" borderId="0" applyAlignment="1" pivotButton="0" quotePrefix="0" xfId="0">
      <alignment horizontal="right" vertical="center" readingOrder="2"/>
    </xf>
    <xf numFmtId="0" fontId="29" fillId="5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readingOrder="2"/>
    </xf>
    <xf numFmtId="0" fontId="5" fillId="3" borderId="0" applyAlignment="1" pivotButton="0" quotePrefix="0" xfId="0">
      <alignment horizontal="center" vertical="center" readingOrder="2"/>
    </xf>
    <xf numFmtId="0" fontId="6" fillId="2" borderId="1" applyAlignment="1" pivotButton="0" quotePrefix="0" xfId="0">
      <alignment horizontal="center" vertical="center" wrapText="1" readingOrder="2"/>
    </xf>
    <xf numFmtId="0" fontId="0" fillId="0" borderId="12" pivotButton="0" quotePrefix="0" xfId="0"/>
    <xf numFmtId="0" fontId="6" fillId="4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horizontal="center" vertical="center" wrapText="1" readingOrder="2"/>
    </xf>
    <xf numFmtId="0" fontId="6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6" fillId="3" borderId="1" applyAlignment="1" pivotButton="0" quotePrefix="0" xfId="0">
      <alignment horizontal="center" vertical="center" wrapText="1" readingOrder="2"/>
    </xf>
    <xf numFmtId="0" fontId="6" fillId="8" borderId="1" applyAlignment="1" pivotButton="0" quotePrefix="0" xfId="0">
      <alignment horizontal="center" vertical="center" wrapText="1" readingOrder="2"/>
    </xf>
    <xf numFmtId="0" fontId="7" fillId="9" borderId="1" applyAlignment="1" pivotButton="0" quotePrefix="0" xfId="0">
      <alignment horizontal="center" vertical="center" wrapText="1" readingOrder="2"/>
    </xf>
    <xf numFmtId="0" fontId="0" fillId="0" borderId="13" pivotButton="0" quotePrefix="0" xfId="0"/>
    <xf numFmtId="0" fontId="8" fillId="2" borderId="2" applyAlignment="1" pivotButton="0" quotePrefix="0" xfId="0">
      <alignment horizontal="center" vertical="center" readingOrder="2"/>
    </xf>
    <xf numFmtId="0" fontId="0" fillId="0" borderId="14" pivotButton="0" quotePrefix="0" xfId="0"/>
    <xf numFmtId="0" fontId="8" fillId="4" borderId="2" applyAlignment="1" pivotButton="0" quotePrefix="0" xfId="0">
      <alignment horizontal="center" vertical="center" readingOrder="2"/>
    </xf>
    <xf numFmtId="0" fontId="8" fillId="5" borderId="2" applyAlignment="1" pivotButton="0" quotePrefix="0" xfId="0">
      <alignment horizontal="center" vertical="center" readingOrder="2"/>
    </xf>
    <xf numFmtId="0" fontId="8" fillId="6" borderId="2" applyAlignment="1" pivotButton="0" quotePrefix="0" xfId="0">
      <alignment horizontal="center" vertical="center" readingOrder="2"/>
    </xf>
    <xf numFmtId="164" fontId="8" fillId="7" borderId="2" applyAlignment="1" pivotButton="0" quotePrefix="0" xfId="0">
      <alignment horizontal="center" vertical="center" readingOrder="2"/>
    </xf>
    <xf numFmtId="3" fontId="8" fillId="3" borderId="2" applyAlignment="1" pivotButton="0" quotePrefix="0" xfId="0">
      <alignment horizontal="center" vertical="center" readingOrder="2"/>
    </xf>
    <xf numFmtId="3" fontId="8" fillId="8" borderId="2" applyAlignment="1" pivotButton="0" quotePrefix="0" xfId="0">
      <alignment horizontal="center" vertical="center" readingOrder="2"/>
    </xf>
    <xf numFmtId="1" fontId="9" fillId="9" borderId="2" applyAlignment="1" pivotButton="0" quotePrefix="0" xfId="0">
      <alignment horizontal="center" vertical="center" readingOrder="2"/>
    </xf>
    <xf numFmtId="0" fontId="10" fillId="3" borderId="0" applyAlignment="1" pivotButton="0" quotePrefix="0" xfId="0">
      <alignment horizontal="center" vertical="center" readingOrder="2"/>
    </xf>
    <xf numFmtId="0" fontId="10" fillId="2" borderId="0" applyAlignment="1" pivotButton="0" quotePrefix="0" xfId="0">
      <alignment horizontal="center" vertical="center" readingOrder="2"/>
    </xf>
    <xf numFmtId="0" fontId="11" fillId="3" borderId="3" applyAlignment="1" pivotButton="0" quotePrefix="0" xfId="0">
      <alignment horizontal="center" vertical="center" readingOrder="2"/>
    </xf>
    <xf numFmtId="0" fontId="11" fillId="2" borderId="3" applyAlignment="1" pivotButton="0" quotePrefix="0" xfId="0">
      <alignment horizontal="center" vertical="center" readingOrder="2"/>
    </xf>
    <xf numFmtId="0" fontId="11" fillId="10" borderId="4" applyAlignment="1" pivotButton="0" quotePrefix="0" xfId="0">
      <alignment horizontal="right" vertical="center" readingOrder="2"/>
    </xf>
    <xf numFmtId="0" fontId="12" fillId="11" borderId="4" applyAlignment="1" pivotButton="0" quotePrefix="0" xfId="0">
      <alignment horizontal="center" vertical="center" readingOrder="2"/>
    </xf>
    <xf numFmtId="165" fontId="13" fillId="11" borderId="4" applyAlignment="1" pivotButton="0" quotePrefix="0" xfId="0">
      <alignment horizontal="center" vertical="center" readingOrder="2"/>
    </xf>
    <xf numFmtId="165" fontId="13" fillId="12" borderId="4" applyAlignment="1" pivotButton="0" quotePrefix="0" xfId="0">
      <alignment horizontal="center" vertical="center" readingOrder="2"/>
    </xf>
    <xf numFmtId="0" fontId="11" fillId="13" borderId="4" applyAlignment="1" pivotButton="0" quotePrefix="0" xfId="0">
      <alignment horizontal="right" vertical="center" readingOrder="2"/>
    </xf>
    <xf numFmtId="0" fontId="11" fillId="6" borderId="4" applyAlignment="1" pivotButton="0" quotePrefix="0" xfId="0">
      <alignment horizontal="right" vertical="center" readingOrder="2"/>
    </xf>
    <xf numFmtId="0" fontId="11" fillId="5" borderId="4" applyAlignment="1" pivotButton="0" quotePrefix="0" xfId="0">
      <alignment horizontal="right" vertical="center" readingOrder="2"/>
    </xf>
    <xf numFmtId="0" fontId="14" fillId="3" borderId="3" applyAlignment="1" pivotButton="0" quotePrefix="0" xfId="0">
      <alignment horizontal="center" vertical="center" wrapText="1" readingOrder="2"/>
    </xf>
    <xf numFmtId="0" fontId="14" fillId="2" borderId="3" applyAlignment="1" pivotButton="0" quotePrefix="0" xfId="0">
      <alignment horizontal="center" vertical="center" wrapText="1" readingOrder="2"/>
    </xf>
    <xf numFmtId="0" fontId="15" fillId="14" borderId="4" applyAlignment="1" pivotButton="0" quotePrefix="0" xfId="0">
      <alignment horizontal="center" vertical="center" readingOrder="2"/>
    </xf>
    <xf numFmtId="0" fontId="15" fillId="14" borderId="4" applyAlignment="1" pivotButton="0" quotePrefix="0" xfId="0">
      <alignment horizontal="right" vertical="center" readingOrder="2"/>
    </xf>
    <xf numFmtId="165" fontId="15" fillId="14" borderId="4" applyAlignment="1" pivotButton="0" quotePrefix="0" xfId="0">
      <alignment horizontal="center" vertical="center" readingOrder="2"/>
    </xf>
    <xf numFmtId="3" fontId="15" fillId="14" borderId="4" applyAlignment="1" pivotButton="0" quotePrefix="0" xfId="0">
      <alignment horizontal="center" vertical="center" readingOrder="2"/>
    </xf>
    <xf numFmtId="0" fontId="15" fillId="11" borderId="4" applyAlignment="1" pivotButton="0" quotePrefix="0" xfId="0">
      <alignment horizontal="center" vertical="center" readingOrder="2"/>
    </xf>
    <xf numFmtId="0" fontId="15" fillId="11" borderId="4" applyAlignment="1" pivotButton="0" quotePrefix="0" xfId="0">
      <alignment horizontal="right" vertical="center" readingOrder="2"/>
    </xf>
    <xf numFmtId="165" fontId="15" fillId="11" borderId="4" applyAlignment="1" pivotButton="0" quotePrefix="0" xfId="0">
      <alignment horizontal="center" vertical="center" readingOrder="2"/>
    </xf>
    <xf numFmtId="3" fontId="15" fillId="11" borderId="4" applyAlignment="1" pivotButton="0" quotePrefix="0" xfId="0">
      <alignment horizontal="center" vertical="center" readingOrder="2"/>
    </xf>
    <xf numFmtId="0" fontId="16" fillId="2" borderId="0" applyAlignment="1" pivotButton="0" quotePrefix="0" xfId="0">
      <alignment horizontal="center" vertical="center" readingOrder="2"/>
    </xf>
    <xf numFmtId="0" fontId="17" fillId="3" borderId="0" applyAlignment="1" pivotButton="0" quotePrefix="0" xfId="0">
      <alignment horizontal="center" vertical="center" readingOrder="2"/>
    </xf>
    <xf numFmtId="0" fontId="18" fillId="12" borderId="4" applyAlignment="1" pivotButton="0" quotePrefix="0" xfId="0">
      <alignment horizontal="center" vertical="center" readingOrder="2"/>
    </xf>
    <xf numFmtId="166" fontId="15" fillId="12" borderId="4" applyAlignment="1" pivotButton="0" quotePrefix="0" xfId="0">
      <alignment horizontal="center" vertical="center" readingOrder="2"/>
    </xf>
    <xf numFmtId="0" fontId="15" fillId="15" borderId="5" applyAlignment="1" pivotButton="0" quotePrefix="0" xfId="0">
      <alignment horizontal="right" vertical="center" readingOrder="2"/>
    </xf>
    <xf numFmtId="0" fontId="15" fillId="15" borderId="5" applyAlignment="1" pivotButton="0" quotePrefix="0" xfId="0">
      <alignment horizontal="center" vertical="center" readingOrder="2"/>
    </xf>
    <xf numFmtId="0" fontId="15" fillId="16" borderId="4" applyAlignment="1" pivotButton="0" quotePrefix="0" xfId="0">
      <alignment horizontal="center" vertical="center" readingOrder="2"/>
    </xf>
    <xf numFmtId="0" fontId="19" fillId="0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center" vertical="center" readingOrder="2"/>
    </xf>
    <xf numFmtId="0" fontId="15" fillId="12" borderId="4" applyAlignment="1" pivotButton="0" quotePrefix="0" xfId="0">
      <alignment horizontal="right" vertical="center" readingOrder="2"/>
    </xf>
    <xf numFmtId="3" fontId="15" fillId="15" borderId="5" applyAlignment="1" pivotButton="0" quotePrefix="0" xfId="0">
      <alignment horizontal="center" vertical="center" readingOrder="2"/>
    </xf>
    <xf numFmtId="3" fontId="18" fillId="16" borderId="4" applyAlignment="1" pivotButton="0" quotePrefix="0" xfId="0">
      <alignment horizontal="center" vertical="center" readingOrder="2"/>
    </xf>
    <xf numFmtId="3" fontId="15" fillId="12" borderId="4" applyAlignment="1" pivotButton="0" quotePrefix="0" xfId="0">
      <alignment horizontal="center" vertical="center" readingOrder="2"/>
    </xf>
    <xf numFmtId="165" fontId="18" fillId="16" borderId="4" applyAlignment="1" pivotButton="0" quotePrefix="0" xfId="0">
      <alignment horizontal="center" vertical="center" readingOrder="2"/>
    </xf>
    <xf numFmtId="0" fontId="14" fillId="5" borderId="3" applyAlignment="1" pivotButton="0" quotePrefix="0" xfId="0">
      <alignment horizontal="center" vertical="center" wrapText="1" readingOrder="2"/>
    </xf>
    <xf numFmtId="0" fontId="18" fillId="16" borderId="4" applyAlignment="1" pivotButton="0" quotePrefix="0" xfId="0">
      <alignment horizontal="center" vertical="center" readingOrder="2"/>
    </xf>
    <xf numFmtId="0" fontId="21" fillId="2" borderId="0" applyAlignment="1" pivotButton="0" quotePrefix="0" xfId="0">
      <alignment horizontal="center" vertical="center" readingOrder="2"/>
    </xf>
    <xf numFmtId="0" fontId="15" fillId="12" borderId="4" applyAlignment="1" pivotButton="0" quotePrefix="0" xfId="0">
      <alignment horizontal="center" vertical="center" readingOrder="2"/>
    </xf>
    <xf numFmtId="165" fontId="15" fillId="12" borderId="4" applyAlignment="1" pivotButton="0" quotePrefix="0" xfId="0">
      <alignment horizontal="center" vertical="center" readingOrder="2"/>
    </xf>
    <xf numFmtId="0" fontId="22" fillId="7" borderId="6" applyAlignment="1" pivotButton="0" quotePrefix="0" xfId="0">
      <alignment horizontal="center" vertical="center" readingOrder="2"/>
    </xf>
    <xf numFmtId="165" fontId="11" fillId="7" borderId="4" applyAlignment="1" pivotButton="0" quotePrefix="0" xfId="0">
      <alignment horizontal="center" vertical="center" readingOrder="2"/>
    </xf>
    <xf numFmtId="0" fontId="23" fillId="16" borderId="6" applyAlignment="1" pivotButton="0" quotePrefix="0" xfId="0">
      <alignment horizontal="center" vertical="center" readingOrder="2"/>
    </xf>
    <xf numFmtId="165" fontId="15" fillId="15" borderId="5" applyAlignment="1" pivotButton="0" quotePrefix="0" xfId="0">
      <alignment horizontal="center" vertical="center" readingOrder="2"/>
    </xf>
    <xf numFmtId="3" fontId="22" fillId="7" borderId="6" applyAlignment="1" pivotButton="0" quotePrefix="0" xfId="0">
      <alignment horizontal="center" vertical="center" readingOrder="2"/>
    </xf>
    <xf numFmtId="0" fontId="14" fillId="9" borderId="3" applyAlignment="1" pivotButton="0" quotePrefix="0" xfId="0">
      <alignment horizontal="center" vertical="center" wrapText="1" readingOrder="2"/>
    </xf>
    <xf numFmtId="0" fontId="14" fillId="6" borderId="3" applyAlignment="1" pivotButton="0" quotePrefix="0" xfId="0">
      <alignment horizontal="center" vertical="center" wrapText="1" readingOrder="2"/>
    </xf>
    <xf numFmtId="166" fontId="15" fillId="15" borderId="5" applyAlignment="1" pivotButton="0" quotePrefix="0" xfId="0">
      <alignment horizontal="center" vertical="center" readingOrder="2"/>
    </xf>
    <xf numFmtId="0" fontId="24" fillId="3" borderId="0" applyAlignment="1" pivotButton="0" quotePrefix="0" xfId="0">
      <alignment horizontal="center" vertical="center" readingOrder="2"/>
    </xf>
    <xf numFmtId="0" fontId="10" fillId="7" borderId="0" applyAlignment="1" pivotButton="0" quotePrefix="0" xfId="0">
      <alignment horizontal="right" vertical="center" readingOrder="2"/>
    </xf>
    <xf numFmtId="0" fontId="25" fillId="15" borderId="7" applyAlignment="1" pivotButton="0" quotePrefix="0" xfId="0">
      <alignment horizontal="center" vertical="center" readingOrder="2"/>
    </xf>
    <xf numFmtId="0" fontId="13" fillId="17" borderId="0" applyAlignment="1" pivotButton="0" quotePrefix="0" xfId="0">
      <alignment horizontal="right" vertical="center" readingOrder="2"/>
    </xf>
    <xf numFmtId="0" fontId="22" fillId="2" borderId="0" applyAlignment="1" pivotButton="0" quotePrefix="0" xfId="0">
      <alignment horizontal="right" vertical="center" readingOrder="2"/>
    </xf>
    <xf numFmtId="0" fontId="18" fillId="12" borderId="8" applyAlignment="1" pivotButton="0" quotePrefix="0" xfId="0">
      <alignment horizontal="right" vertical="center" readingOrder="2"/>
    </xf>
    <xf numFmtId="0" fontId="0" fillId="0" borderId="16" pivotButton="0" quotePrefix="0" xfId="0"/>
    <xf numFmtId="0" fontId="15" fillId="12" borderId="9" applyAlignment="1" pivotButton="0" quotePrefix="0" xfId="0">
      <alignment horizontal="center" vertical="center" readingOrder="2"/>
    </xf>
    <xf numFmtId="0" fontId="0" fillId="0" borderId="18" pivotButton="0" quotePrefix="0" xfId="0"/>
    <xf numFmtId="0" fontId="15" fillId="11" borderId="9" applyAlignment="1" pivotButton="0" quotePrefix="0" xfId="0">
      <alignment horizontal="center" vertical="center" readingOrder="2"/>
    </xf>
    <xf numFmtId="3" fontId="15" fillId="11" borderId="9" applyAlignment="1" pivotButton="0" quotePrefix="0" xfId="0">
      <alignment horizontal="center" vertical="center" readingOrder="2"/>
    </xf>
    <xf numFmtId="0" fontId="22" fillId="3" borderId="0" applyAlignment="1" pivotButton="0" quotePrefix="0" xfId="0">
      <alignment horizontal="right" vertical="center" readingOrder="2"/>
    </xf>
    <xf numFmtId="165" fontId="15" fillId="11" borderId="9" applyAlignment="1" pivotButton="0" quotePrefix="0" xfId="0">
      <alignment horizontal="center" vertical="center" readingOrder="2"/>
    </xf>
    <xf numFmtId="0" fontId="23" fillId="11" borderId="9" applyAlignment="1" pivotButton="0" quotePrefix="0" xfId="0">
      <alignment horizontal="center" vertical="center" readingOrder="2"/>
    </xf>
    <xf numFmtId="0" fontId="23" fillId="16" borderId="9" applyAlignment="1" pivotButton="0" quotePrefix="0" xfId="0">
      <alignment horizontal="center" vertical="center" readingOrder="2"/>
    </xf>
    <xf numFmtId="0" fontId="22" fillId="5" borderId="0" applyAlignment="1" pivotButton="0" quotePrefix="0" xfId="0">
      <alignment horizontal="right" vertical="center" readingOrder="2"/>
    </xf>
    <xf numFmtId="0" fontId="22" fillId="4" borderId="0" applyAlignment="1" pivotButton="0" quotePrefix="0" xfId="0">
      <alignment horizontal="right" vertical="center" readingOrder="2"/>
    </xf>
    <xf numFmtId="3" fontId="23" fillId="11" borderId="9" applyAlignment="1" pivotButton="0" quotePrefix="0" xfId="0">
      <alignment horizontal="center" vertical="center" readingOrder="2"/>
    </xf>
    <xf numFmtId="3" fontId="23" fillId="18" borderId="9" applyAlignment="1" pivotButton="0" quotePrefix="0" xfId="0">
      <alignment horizontal="center" vertical="center" readingOrder="2"/>
    </xf>
    <xf numFmtId="0" fontId="22" fillId="9" borderId="0" applyAlignment="1" pivotButton="0" quotePrefix="0" xfId="0">
      <alignment horizontal="right" vertical="center" readingOrder="2"/>
    </xf>
    <xf numFmtId="0" fontId="22" fillId="8" borderId="0" applyAlignment="1" pivotButton="0" quotePrefix="0" xfId="0">
      <alignment horizontal="right" vertical="center" readingOrder="2"/>
    </xf>
    <xf numFmtId="0" fontId="26" fillId="11" borderId="8" applyAlignment="1" pivotButton="0" quotePrefix="0" xfId="0">
      <alignment horizontal="center" vertical="center" readingOrder="2"/>
    </xf>
    <xf numFmtId="0" fontId="27" fillId="2" borderId="0" applyAlignment="1" pivotButton="0" quotePrefix="0" xfId="0">
      <alignment horizontal="center" vertical="center" readingOrder="2"/>
    </xf>
    <xf numFmtId="0" fontId="22" fillId="3" borderId="0" applyAlignment="1" pivotButton="0" quotePrefix="0" xfId="0">
      <alignment horizontal="center" vertical="center" readingOrder="2"/>
    </xf>
    <xf numFmtId="0" fontId="11" fillId="7" borderId="10" applyAlignment="1" pivotButton="0" quotePrefix="0" xfId="0">
      <alignment horizontal="center" vertical="center" wrapText="1" readingOrder="2"/>
    </xf>
    <xf numFmtId="0" fontId="11" fillId="7" borderId="0" applyAlignment="1" pivotButton="0" quotePrefix="0" xfId="0">
      <alignment horizontal="center" vertical="center" readingOrder="2"/>
    </xf>
    <xf numFmtId="0" fontId="18" fillId="12" borderId="0" applyAlignment="1" pivotButton="0" quotePrefix="0" xfId="0">
      <alignment horizontal="right" vertical="center" readingOrder="2"/>
    </xf>
    <xf numFmtId="0" fontId="28" fillId="15" borderId="11" applyAlignment="1" pivotButton="0" quotePrefix="0" xfId="0">
      <alignment horizontal="center" vertical="center" readingOrder="2"/>
    </xf>
    <xf numFmtId="0" fontId="13" fillId="11" borderId="0" applyAlignment="1" pivotButton="0" quotePrefix="0" xfId="0">
      <alignment horizontal="right" vertical="center" readingOrder="2"/>
    </xf>
    <xf numFmtId="0" fontId="13" fillId="11" borderId="0" applyAlignment="1" pivotButton="0" quotePrefix="0" xfId="0">
      <alignment horizontal="center" vertical="center" readingOrder="2"/>
    </xf>
    <xf numFmtId="0" fontId="11" fillId="10" borderId="0" applyAlignment="1" pivotButton="0" quotePrefix="0" xfId="0">
      <alignment horizontal="right" vertical="center" readingOrder="2"/>
    </xf>
    <xf numFmtId="0" fontId="29" fillId="10" borderId="0" applyAlignment="1" pivotButton="0" quotePrefix="0" xfId="0">
      <alignment horizontal="center" vertical="center" readingOrder="2"/>
    </xf>
    <xf numFmtId="0" fontId="11" fillId="13" borderId="0" applyAlignment="1" pivotButton="0" quotePrefix="0" xfId="0">
      <alignment horizontal="right" vertical="center" readingOrder="2"/>
    </xf>
    <xf numFmtId="0" fontId="29" fillId="13" borderId="0" applyAlignment="1" pivotButton="0" quotePrefix="0" xfId="0">
      <alignment horizontal="center" vertical="center" readingOrder="2"/>
    </xf>
    <xf numFmtId="0" fontId="11" fillId="6" borderId="0" applyAlignment="1" pivotButton="0" quotePrefix="0" xfId="0">
      <alignment horizontal="right" vertical="center" readingOrder="2"/>
    </xf>
    <xf numFmtId="0" fontId="29" fillId="6" borderId="0" applyAlignment="1" pivotButton="0" quotePrefix="0" xfId="0">
      <alignment horizontal="center" vertical="center" readingOrder="2"/>
    </xf>
    <xf numFmtId="0" fontId="11" fillId="5" borderId="0" applyAlignment="1" pivotButton="0" quotePrefix="0" xfId="0">
      <alignment horizontal="right" vertical="center" readingOrder="2"/>
    </xf>
    <xf numFmtId="0" fontId="29" fillId="5" borderId="0" applyAlignment="1" pivotButton="0" quotePrefix="0" xfId="0">
      <alignment horizontal="center" vertical="center" readingOrder="2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b val="1"/>
        <color rgb="FF1A6B3A"/>
      </font>
      <fill>
        <patternFill>
          <bgColor rgb="FFD4EDDA"/>
        </patternFill>
      </fill>
    </dxf>
    <dxf>
      <font>
        <b val="1"/>
        <color rgb="FF8A6800"/>
      </font>
      <fill>
        <patternFill>
          <bgColor rgb="FFFFF3CD"/>
        </patternFill>
      </fill>
    </dxf>
    <dxf>
      <font>
        <b val="1"/>
        <color rgb="FF8B4500"/>
      </font>
      <fill>
        <patternFill>
          <bgColor rgb="FFFFE0B2"/>
        </patternFill>
      </fill>
    </dxf>
    <dxf>
      <font>
        <b val="1"/>
        <color rgb="FF7B1C1C"/>
      </font>
      <fill>
        <patternFill>
          <bgColor rgb="FFFDECEA"/>
        </patternFill>
      </fill>
    </dxf>
    <dxf>
      <font>
        <color rgb="FF8B4500"/>
      </font>
      <fill>
        <patternFill>
          <bgColor rgb="FFFFE0B2"/>
        </patternFill>
      </fill>
    </dxf>
    <dxf>
      <font>
        <color rgb="FF1A6B3A"/>
      </font>
      <fill>
        <patternFill>
          <bgColor rgb="FFD4EDDA"/>
        </patternFill>
      </fill>
    </dxf>
    <dxf>
      <font>
        <color rgb="FF8A68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7B1C1C"/>
      <rgbColor rgb="FF1A6B3A"/>
      <rgbColor rgb="FF000080"/>
      <rgbColor rgb="FF8A6800"/>
      <rgbColor rgb="FF800080"/>
      <rgbColor rgb="FF008080"/>
      <rgbColor rgb="FFBCC5D4"/>
      <rgbColor rgb="FF808080"/>
      <rgbColor rgb="FFEEF2F8"/>
      <rgbColor rgb="FF993366"/>
      <rgbColor rgb="FFFFF9C4"/>
      <rgbColor rgb="FFE8F5E9"/>
      <rgbColor rgb="FF660066"/>
      <rgbColor rgb="FFE74C3C"/>
      <rgbColor rgb="FF0066CC"/>
      <rgbColor rgb="FFDDDDDD"/>
      <rgbColor rgb="FF000080"/>
      <rgbColor rgb="FFFF00FF"/>
      <rgbColor rgb="FFF5F7FA"/>
      <rgbColor rgb="FF00FFFF"/>
      <rgbColor rgb="FF800080"/>
      <rgbColor rgb="FF800000"/>
      <rgbColor rgb="FF008080"/>
      <rgbColor rgb="FF0000FF"/>
      <rgbColor rgb="FF00CCFF"/>
      <rgbColor rgb="FFEBF5FB"/>
      <rgbColor rgb="FFD4EDDA"/>
      <rgbColor rgb="FFFFF3CD"/>
      <rgbColor rgb="FFE8ECF2"/>
      <rgbColor rgb="FFFFE0B2"/>
      <rgbColor rgb="FFFDECEA"/>
      <rgbColor rgb="FFF0D080"/>
      <rgbColor rgb="FF3366FF"/>
      <rgbColor rgb="FF5DADE2"/>
      <rgbColor rgb="FFC9A227"/>
      <rgbColor rgb="FFFFCC00"/>
      <rgbColor rgb="FFF39C12"/>
      <rgbColor rgb="FFE67E22"/>
      <rgbColor rgb="FF3D5A99"/>
      <rgbColor rgb="FF969696"/>
      <rgbColor rgb="FF003366"/>
      <rgbColor rgb="FF27AE60"/>
      <rgbColor rgb="FF003300"/>
      <rgbColor rgb="FF4A5568"/>
      <rgbColor rgb="FF8B4500"/>
      <rgbColor rgb="FF993366"/>
      <rgbColor rgb="FF2E4172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9A227"/>
    <outlinePr summaryBelow="1" summaryRight="1"/>
    <pageSetUpPr fitToPage="0"/>
  </sheetPr>
  <dimension ref="A1:P70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28" customWidth="1" style="103" min="2" max="2"/>
    <col width="10" customWidth="1" style="103" min="3" max="3"/>
    <col width="14" customWidth="1" style="103" min="4" max="4"/>
    <col width="12" customWidth="1" style="103" min="5" max="5"/>
    <col width="14" customWidth="1" style="103" min="6" max="6"/>
    <col width="10" customWidth="1" style="103" min="7" max="7"/>
    <col width="26" customWidth="1" style="103" min="8" max="8"/>
    <col width="16" customWidth="1" style="103" min="9" max="10"/>
    <col width="22" customWidth="1" style="103" min="11" max="11"/>
    <col width="24" customWidth="1" style="103" min="12" max="12"/>
    <col width="10" customWidth="1" style="103" min="13" max="16"/>
  </cols>
  <sheetData>
    <row r="1" ht="60" customHeight="1" s="104">
      <c r="A1" s="105" t="inlineStr">
        <is>
          <t>🏦  نظام تحليل العملاء والجدارة الائتمانية وسداد المديونيات  |  Executive Dashboard</t>
        </is>
      </c>
    </row>
    <row r="2" ht="21.75" customHeight="1" s="104">
      <c r="A2" s="106" t="inlineStr">
        <is>
          <t>لوحة التحكم التنفيذية  |  تُحدَّث تلقائياً من جميع الشاشات</t>
        </is>
      </c>
    </row>
    <row r="3" ht="9.75" customHeight="1" s="104"/>
    <row r="4" ht="19.5" customHeight="1" s="104">
      <c r="A4" s="107" t="inlineStr">
        <is>
          <t>إجمالي العملاء
Total Clients</t>
        </is>
      </c>
      <c r="B4" s="108" t="n"/>
      <c r="C4" s="109" t="inlineStr">
        <is>
          <t>عدد المؤهلين (A+B)
Qualified</t>
        </is>
      </c>
      <c r="D4" s="108" t="n"/>
      <c r="E4" s="110" t="inlineStr">
        <is>
          <t>عدد المرفوضين
Rejected</t>
        </is>
      </c>
      <c r="F4" s="108" t="n"/>
      <c r="G4" s="111" t="inlineStr">
        <is>
          <t>عدد الاستثناءات (C)
Exceptions</t>
        </is>
      </c>
      <c r="H4" s="108" t="n"/>
      <c r="I4" s="112" t="inlineStr">
        <is>
          <t>متوسط درجة المخاطرة
Avg. Score</t>
        </is>
      </c>
      <c r="J4" s="108" t="n"/>
      <c r="K4" s="113" t="inlineStr">
        <is>
          <t>إجمالي الفرص التمويلية
Total Financing</t>
        </is>
      </c>
      <c r="L4" s="108" t="n"/>
      <c r="M4" s="114" t="inlineStr">
        <is>
          <t>إجمالي المديونيات
Total Debts</t>
        </is>
      </c>
      <c r="N4" s="108" t="n"/>
      <c r="O4" s="115" t="inlineStr">
        <is>
          <t>متوسط درجة سمة
Avg. SIMAH</t>
        </is>
      </c>
      <c r="P4" s="108" t="n"/>
    </row>
    <row r="5" ht="49.5" customHeight="1" s="104">
      <c r="A5" s="116" t="n"/>
      <c r="C5" s="116" t="n"/>
      <c r="E5" s="116" t="n"/>
      <c r="G5" s="116" t="n"/>
      <c r="I5" s="116" t="n"/>
      <c r="K5" s="116" t="n"/>
      <c r="M5" s="116" t="n"/>
      <c r="O5" s="116" t="n"/>
    </row>
    <row r="6" ht="49.5" customHeight="1" s="104">
      <c r="A6" s="117">
        <f>COUNTIF('1. بيانات العميل'!C4:C53,"&lt;&gt;")</f>
        <v/>
      </c>
      <c r="B6" s="118" t="n"/>
      <c r="C6" s="119">
        <f>COUNTIF('4. محرك المخاطر'!R4:R53,"A")+COUNTIF('4. محرك المخاطر'!R4:R53,"B")</f>
        <v/>
      </c>
      <c r="D6" s="118" t="n"/>
      <c r="E6" s="120">
        <f>COUNTIF('4. محرك المخاطر'!R4:R53,"D")</f>
        <v/>
      </c>
      <c r="F6" s="118" t="n"/>
      <c r="G6" s="121">
        <f>COUNTIF('4. محرك المخاطر'!R4:R53,"C")</f>
        <v/>
      </c>
      <c r="H6" s="118" t="n"/>
      <c r="I6" s="122">
        <f>IFERROR(AVERAGEIF('4. محرك المخاطر'!B4:B53,"&lt;&gt;",'4. محرك المخاطر'!P4:P53),0)</f>
        <v/>
      </c>
      <c r="J6" s="118" t="n"/>
      <c r="K6" s="123">
        <f>IFERROR(SUMIF('5. الجدوى التمويلية'!C4:C53,"&lt;&gt;",'5. الجدوى التمويلية'!F4:F53),0)</f>
        <v/>
      </c>
      <c r="L6" s="118" t="n"/>
      <c r="M6" s="124">
        <f>IFERROR(SUM('2. الالتزامات'!K4:K53),0)</f>
        <v/>
      </c>
      <c r="N6" s="118" t="n"/>
      <c r="O6" s="125">
        <f>IFERROR(AVERAGEIF('1. بيانات العميل'!C4:C53,"&lt;&gt;",'1. بيانات العميل'!M4:M53),0)</f>
        <v/>
      </c>
      <c r="P6" s="118" t="n"/>
    </row>
    <row r="7" ht="9.75" customHeight="1" s="104"/>
    <row r="9" ht="9.75" customHeight="1" s="104"/>
    <row r="10" ht="27.75" customHeight="1" s="104">
      <c r="A10" s="126" t="inlineStr">
        <is>
          <t>🎯  توزيع التصنيفات الائتمانية</t>
        </is>
      </c>
      <c r="I10" s="127" t="inlineStr">
        <is>
          <t>💰  توزيع الفرص الاستثمارية</t>
        </is>
      </c>
    </row>
    <row r="11" ht="24" customHeight="1" s="104">
      <c r="A11" s="128" t="inlineStr">
        <is>
          <t>التصنيف</t>
        </is>
      </c>
      <c r="B11" s="128" t="inlineStr">
        <is>
          <t>العدد</t>
        </is>
      </c>
      <c r="C11" s="128" t="inlineStr">
        <is>
          <t>النسبة</t>
        </is>
      </c>
      <c r="D11" s="128" t="inlineStr">
        <is>
          <t>المؤشر</t>
        </is>
      </c>
      <c r="I11" s="129" t="inlineStr">
        <is>
          <t>نوع الفرصة</t>
        </is>
      </c>
      <c r="J11" s="129" t="inlineStr">
        <is>
          <t>العدد</t>
        </is>
      </c>
      <c r="K11" s="129" t="inlineStr">
        <is>
          <t>النسبة</t>
        </is>
      </c>
      <c r="L11" s="129" t="inlineStr">
        <is>
          <t>المؤشر</t>
        </is>
      </c>
    </row>
    <row r="12" ht="24" customHeight="1" s="104">
      <c r="A12" s="130" t="inlineStr">
        <is>
          <t>🟢 A - مؤهل</t>
        </is>
      </c>
      <c r="B12" s="131">
        <f>COUNTIF('4. محرك المخاطر'!R4:R53,"A")</f>
        <v/>
      </c>
      <c r="C12" s="132">
        <f>IFERROR(B12/COUNTIF('1. بيانات العميل'!C4:C53,"&lt;&gt;"),0)</f>
        <v/>
      </c>
      <c r="D12" s="133">
        <f>IFERROR(B12/COUNTIF('1. بيانات العميل'!C4:C53,"&lt;&gt;"),0)</f>
        <v/>
      </c>
      <c r="I12" s="130" t="inlineStr">
        <is>
          <t>🟢 فرصة ممتازة</t>
        </is>
      </c>
      <c r="J12" s="131">
        <f>COUNTIF('5. الجدوى التمويلية'!N4:N53,"🟢 فرصة ممتازة")</f>
        <v/>
      </c>
    </row>
    <row r="13" ht="24" customHeight="1" s="104">
      <c r="A13" s="134" t="inlineStr">
        <is>
          <t>🟡 B - مؤهل بتحفظ</t>
        </is>
      </c>
      <c r="B13" s="131">
        <f>COUNTIF('4. محرك المخاطر'!R4:R53,"B")</f>
        <v/>
      </c>
      <c r="C13" s="132">
        <f>IFERROR(B13/COUNTIF('1. بيانات العميل'!C4:C53,"&lt;&gt;"),0)</f>
        <v/>
      </c>
      <c r="D13" s="133">
        <f>IFERROR(B13/COUNTIF('1. بيانات العميل'!C4:C53,"&lt;&gt;"),0)</f>
        <v/>
      </c>
      <c r="I13" s="134" t="inlineStr">
        <is>
          <t>🟡 فرصة جيدة</t>
        </is>
      </c>
      <c r="J13" s="131">
        <f>COUNTIF('5. الجدوى التمويلية'!N4:N53,"🟡 فرصة جيدة")</f>
        <v/>
      </c>
    </row>
    <row r="14" ht="24" customHeight="1" s="104">
      <c r="A14" s="135" t="inlineStr">
        <is>
          <t>🟠 C - استثناء</t>
        </is>
      </c>
      <c r="B14" s="131">
        <f>COUNTIF('4. محرك المخاطر'!R4:R53,"C")</f>
        <v/>
      </c>
      <c r="C14" s="132">
        <f>IFERROR(B14/COUNTIF('1. بيانات العميل'!C4:C53,"&lt;&gt;"),0)</f>
        <v/>
      </c>
      <c r="D14" s="133">
        <f>IFERROR(B14/COUNTIF('1. بيانات العميل'!C4:C53,"&lt;&gt;"),0)</f>
        <v/>
      </c>
      <c r="I14" s="135" t="inlineStr">
        <is>
          <t>🟠 فرصة ضعيفة</t>
        </is>
      </c>
      <c r="J14" s="131">
        <f>COUNTIF('5. الجدوى التمويلية'!N4:N53,"🟠 فرصة ضعيفة")</f>
        <v/>
      </c>
    </row>
    <row r="15" ht="24" customHeight="1" s="104">
      <c r="A15" s="136" t="inlineStr">
        <is>
          <t>🔴 D - مرفوض</t>
        </is>
      </c>
      <c r="B15" s="131">
        <f>COUNTIF('4. محرك المخاطر'!R4:R53,"D")</f>
        <v/>
      </c>
      <c r="C15" s="132">
        <f>IFERROR(B15/COUNTIF('1. بيانات العميل'!C4:C53,"&lt;&gt;"),0)</f>
        <v/>
      </c>
      <c r="D15" s="133">
        <f>IFERROR(B15/COUNTIF('1. بيانات العميل'!C4:C53,"&lt;&gt;"),0)</f>
        <v/>
      </c>
      <c r="I15" s="136" t="inlineStr">
        <is>
          <t>🔴 غير مجدي</t>
        </is>
      </c>
      <c r="J15" s="131">
        <f>COUNTIF('5. الجدوى التمويلية'!N4:N53,"🔴 غير مجدي اقتصادياً")</f>
        <v/>
      </c>
    </row>
    <row r="18" ht="9.75" customHeight="1" s="104"/>
    <row r="19" ht="27.75" customHeight="1" s="104">
      <c r="A19" s="127" t="inlineStr">
        <is>
          <t>👥  قائمة العملاء والتصنيف النهائي - Client Summary</t>
        </is>
      </c>
    </row>
    <row r="20" ht="30" customHeight="1" s="104">
      <c r="A20" s="137" t="inlineStr">
        <is>
          <t>رقم الملف</t>
        </is>
      </c>
      <c r="B20" s="137" t="inlineStr">
        <is>
          <t>اسم العميل</t>
        </is>
      </c>
      <c r="C20" s="137" t="inlineStr">
        <is>
          <t>درجة سمة</t>
        </is>
      </c>
      <c r="D20" s="137" t="inlineStr">
        <is>
          <t>نسبة الاستقطاع</t>
        </is>
      </c>
      <c r="E20" s="137" t="inlineStr">
        <is>
          <t>نقاط التنفيذ</t>
        </is>
      </c>
      <c r="F20" s="137" t="inlineStr">
        <is>
          <t>إجمالي النقاط</t>
        </is>
      </c>
      <c r="G20" s="138" t="inlineStr">
        <is>
          <t>التصنيف</t>
        </is>
      </c>
      <c r="H20" s="138" t="inlineStr">
        <is>
          <t>الحالة النهائية</t>
        </is>
      </c>
      <c r="I20" s="138" t="inlineStr">
        <is>
          <t>التمويل المتوقع</t>
        </is>
      </c>
      <c r="J20" s="138" t="inlineStr">
        <is>
          <t>الفائض المتوقع</t>
        </is>
      </c>
      <c r="K20" s="138" t="inlineStr">
        <is>
          <t>قرار الجدوى</t>
        </is>
      </c>
      <c r="L20" s="138" t="inlineStr">
        <is>
          <t>مرحلة Workflow</t>
        </is>
      </c>
    </row>
    <row r="21" ht="19.5" customHeight="1" s="104">
      <c r="A21" s="139">
        <f>'1. بيانات العميل'!A7</f>
        <v/>
      </c>
      <c r="B21" s="140">
        <f>'1. بيانات العميل'!C7</f>
        <v/>
      </c>
      <c r="C21" s="139">
        <f>'1. بيانات العميل'!M7</f>
        <v/>
      </c>
      <c r="D21" s="141">
        <f>'2. الالتزامات'!N7</f>
        <v/>
      </c>
      <c r="E21" s="139">
        <f>'3. التنفيذات'!K7</f>
        <v/>
      </c>
      <c r="F21" s="139">
        <f>'4. محرك المخاطر'!P7</f>
        <v/>
      </c>
      <c r="G21" s="139">
        <f>'4. محرك المخاطر'!R7</f>
        <v/>
      </c>
      <c r="H21" s="139">
        <f>'4. محرك المخاطر'!S7</f>
        <v/>
      </c>
      <c r="I21" s="142">
        <f>'5. الجدوى التمويلية'!F7</f>
        <v/>
      </c>
      <c r="J21" s="142">
        <f>'5. الجدوى التمويلية'!M7</f>
        <v/>
      </c>
      <c r="K21" s="139">
        <f>'5. الجدوى التمويلية'!N7</f>
        <v/>
      </c>
      <c r="L21" s="139">
        <f>'1. بيانات العميل'!R7</f>
        <v/>
      </c>
    </row>
    <row r="22" ht="19.5" customHeight="1" s="104">
      <c r="A22" s="143">
        <f>'1. بيانات العميل'!A8</f>
        <v/>
      </c>
      <c r="B22" s="144">
        <f>'1. بيانات العميل'!C8</f>
        <v/>
      </c>
      <c r="C22" s="143">
        <f>'1. بيانات العميل'!M8</f>
        <v/>
      </c>
      <c r="D22" s="145">
        <f>'2. الالتزامات'!N8</f>
        <v/>
      </c>
      <c r="E22" s="143">
        <f>'3. التنفيذات'!K8</f>
        <v/>
      </c>
      <c r="F22" s="143">
        <f>'4. محرك المخاطر'!P8</f>
        <v/>
      </c>
      <c r="G22" s="143">
        <f>'4. محرك المخاطر'!R8</f>
        <v/>
      </c>
      <c r="H22" s="143">
        <f>'4. محرك المخاطر'!S8</f>
        <v/>
      </c>
      <c r="I22" s="146">
        <f>'5. الجدوى التمويلية'!F8</f>
        <v/>
      </c>
      <c r="J22" s="146">
        <f>'5. الجدوى التمويلية'!M8</f>
        <v/>
      </c>
      <c r="K22" s="143">
        <f>'5. الجدوى التمويلية'!N8</f>
        <v/>
      </c>
      <c r="L22" s="143">
        <f>'1. بيانات العميل'!R8</f>
        <v/>
      </c>
    </row>
    <row r="23" ht="19.5" customHeight="1" s="104">
      <c r="A23" s="139">
        <f>'1. بيانات العميل'!A9</f>
        <v/>
      </c>
      <c r="B23" s="140">
        <f>'1. بيانات العميل'!C9</f>
        <v/>
      </c>
      <c r="C23" s="139">
        <f>'1. بيانات العميل'!M9</f>
        <v/>
      </c>
      <c r="D23" s="141">
        <f>'2. الالتزامات'!N9</f>
        <v/>
      </c>
      <c r="E23" s="139">
        <f>'3. التنفيذات'!K9</f>
        <v/>
      </c>
      <c r="F23" s="139">
        <f>'4. محرك المخاطر'!P9</f>
        <v/>
      </c>
      <c r="G23" s="139">
        <f>'4. محرك المخاطر'!R9</f>
        <v/>
      </c>
      <c r="H23" s="139">
        <f>'4. محرك المخاطر'!S9</f>
        <v/>
      </c>
      <c r="I23" s="142">
        <f>'5. الجدوى التمويلية'!F9</f>
        <v/>
      </c>
      <c r="J23" s="142">
        <f>'5. الجدوى التمويلية'!M9</f>
        <v/>
      </c>
      <c r="K23" s="139">
        <f>'5. الجدوى التمويلية'!N9</f>
        <v/>
      </c>
      <c r="L23" s="139">
        <f>'1. بيانات العميل'!R9</f>
        <v/>
      </c>
    </row>
    <row r="24" ht="19.5" customHeight="1" s="104">
      <c r="A24" s="143">
        <f>'1. بيانات العميل'!A10</f>
        <v/>
      </c>
      <c r="B24" s="144">
        <f>'1. بيانات العميل'!C10</f>
        <v/>
      </c>
      <c r="C24" s="143">
        <f>'1. بيانات العميل'!M10</f>
        <v/>
      </c>
      <c r="D24" s="145">
        <f>'2. الالتزامات'!N10</f>
        <v/>
      </c>
      <c r="E24" s="143">
        <f>'3. التنفيذات'!K10</f>
        <v/>
      </c>
      <c r="F24" s="143">
        <f>'4. محرك المخاطر'!P10</f>
        <v/>
      </c>
      <c r="G24" s="143">
        <f>'4. محرك المخاطر'!R10</f>
        <v/>
      </c>
      <c r="H24" s="143">
        <f>'4. محرك المخاطر'!S10</f>
        <v/>
      </c>
      <c r="I24" s="146">
        <f>'5. الجدوى التمويلية'!F10</f>
        <v/>
      </c>
      <c r="J24" s="146">
        <f>'5. الجدوى التمويلية'!M10</f>
        <v/>
      </c>
      <c r="K24" s="143">
        <f>'5. الجدوى التمويلية'!N10</f>
        <v/>
      </c>
      <c r="L24" s="143">
        <f>'1. بيانات العميل'!R10</f>
        <v/>
      </c>
    </row>
    <row r="25" ht="19.5" customHeight="1" s="104">
      <c r="A25" s="139">
        <f>'1. بيانات العميل'!A11</f>
        <v/>
      </c>
      <c r="B25" s="140">
        <f>'1. بيانات العميل'!C11</f>
        <v/>
      </c>
      <c r="C25" s="139">
        <f>'1. بيانات العميل'!M11</f>
        <v/>
      </c>
      <c r="D25" s="141">
        <f>'2. الالتزامات'!N11</f>
        <v/>
      </c>
      <c r="E25" s="139">
        <f>'3. التنفيذات'!K11</f>
        <v/>
      </c>
      <c r="F25" s="139">
        <f>'4. محرك المخاطر'!P11</f>
        <v/>
      </c>
      <c r="G25" s="139">
        <f>'4. محرك المخاطر'!R11</f>
        <v/>
      </c>
      <c r="H25" s="139">
        <f>'4. محرك المخاطر'!S11</f>
        <v/>
      </c>
      <c r="I25" s="142">
        <f>'5. الجدوى التمويلية'!F11</f>
        <v/>
      </c>
      <c r="J25" s="142">
        <f>'5. الجدوى التمويلية'!M11</f>
        <v/>
      </c>
      <c r="K25" s="139">
        <f>'5. الجدوى التمويلية'!N11</f>
        <v/>
      </c>
      <c r="L25" s="139">
        <f>'1. بيانات العميل'!R11</f>
        <v/>
      </c>
    </row>
    <row r="26" ht="19.5" customHeight="1" s="104">
      <c r="A26" s="143">
        <f>'1. بيانات العميل'!A12</f>
        <v/>
      </c>
      <c r="B26" s="144">
        <f>'1. بيانات العميل'!C12</f>
        <v/>
      </c>
      <c r="C26" s="143">
        <f>'1. بيانات العميل'!M12</f>
        <v/>
      </c>
      <c r="D26" s="145">
        <f>'2. الالتزامات'!N12</f>
        <v/>
      </c>
      <c r="E26" s="143">
        <f>'3. التنفيذات'!K12</f>
        <v/>
      </c>
      <c r="F26" s="143">
        <f>'4. محرك المخاطر'!P12</f>
        <v/>
      </c>
      <c r="G26" s="143">
        <f>'4. محرك المخاطر'!R12</f>
        <v/>
      </c>
      <c r="H26" s="143">
        <f>'4. محرك المخاطر'!S12</f>
        <v/>
      </c>
      <c r="I26" s="146">
        <f>'5. الجدوى التمويلية'!F12</f>
        <v/>
      </c>
      <c r="J26" s="146">
        <f>'5. الجدوى التمويلية'!M12</f>
        <v/>
      </c>
      <c r="K26" s="143">
        <f>'5. الجدوى التمويلية'!N12</f>
        <v/>
      </c>
      <c r="L26" s="143">
        <f>'1. بيانات العميل'!R12</f>
        <v/>
      </c>
    </row>
    <row r="27" ht="19.5" customHeight="1" s="104">
      <c r="A27" s="139">
        <f>'1. بيانات العميل'!A13</f>
        <v/>
      </c>
      <c r="B27" s="140">
        <f>'1. بيانات العميل'!C13</f>
        <v/>
      </c>
      <c r="C27" s="139">
        <f>'1. بيانات العميل'!M13</f>
        <v/>
      </c>
      <c r="D27" s="141">
        <f>'2. الالتزامات'!N13</f>
        <v/>
      </c>
      <c r="E27" s="139">
        <f>'3. التنفيذات'!K13</f>
        <v/>
      </c>
      <c r="F27" s="139">
        <f>'4. محرك المخاطر'!P13</f>
        <v/>
      </c>
      <c r="G27" s="139">
        <f>'4. محرك المخاطر'!R13</f>
        <v/>
      </c>
      <c r="H27" s="139">
        <f>'4. محرك المخاطر'!S13</f>
        <v/>
      </c>
      <c r="I27" s="142">
        <f>'5. الجدوى التمويلية'!F13</f>
        <v/>
      </c>
      <c r="J27" s="142">
        <f>'5. الجدوى التمويلية'!M13</f>
        <v/>
      </c>
      <c r="K27" s="139">
        <f>'5. الجدوى التمويلية'!N13</f>
        <v/>
      </c>
      <c r="L27" s="139">
        <f>'1. بيانات العميل'!R13</f>
        <v/>
      </c>
    </row>
    <row r="28" ht="19.5" customHeight="1" s="104">
      <c r="A28" s="143">
        <f>'1. بيانات العميل'!A14</f>
        <v/>
      </c>
      <c r="B28" s="144">
        <f>'1. بيانات العميل'!C14</f>
        <v/>
      </c>
      <c r="C28" s="143">
        <f>'1. بيانات العميل'!M14</f>
        <v/>
      </c>
      <c r="D28" s="145">
        <f>'2. الالتزامات'!N14</f>
        <v/>
      </c>
      <c r="E28" s="143">
        <f>'3. التنفيذات'!K14</f>
        <v/>
      </c>
      <c r="F28" s="143">
        <f>'4. محرك المخاطر'!P14</f>
        <v/>
      </c>
      <c r="G28" s="143">
        <f>'4. محرك المخاطر'!R14</f>
        <v/>
      </c>
      <c r="H28" s="143">
        <f>'4. محرك المخاطر'!S14</f>
        <v/>
      </c>
      <c r="I28" s="146">
        <f>'5. الجدوى التمويلية'!F14</f>
        <v/>
      </c>
      <c r="J28" s="146">
        <f>'5. الجدوى التمويلية'!M14</f>
        <v/>
      </c>
      <c r="K28" s="143">
        <f>'5. الجدوى التمويلية'!N14</f>
        <v/>
      </c>
      <c r="L28" s="143">
        <f>'1. بيانات العميل'!R14</f>
        <v/>
      </c>
    </row>
    <row r="29" ht="19.5" customHeight="1" s="104">
      <c r="A29" s="139">
        <f>'1. بيانات العميل'!A15</f>
        <v/>
      </c>
      <c r="B29" s="140">
        <f>'1. بيانات العميل'!C15</f>
        <v/>
      </c>
      <c r="C29" s="139">
        <f>'1. بيانات العميل'!M15</f>
        <v/>
      </c>
      <c r="D29" s="141">
        <f>'2. الالتزامات'!N15</f>
        <v/>
      </c>
      <c r="E29" s="139">
        <f>'3. التنفيذات'!K15</f>
        <v/>
      </c>
      <c r="F29" s="139">
        <f>'4. محرك المخاطر'!P15</f>
        <v/>
      </c>
      <c r="G29" s="139">
        <f>'4. محرك المخاطر'!R15</f>
        <v/>
      </c>
      <c r="H29" s="139">
        <f>'4. محرك المخاطر'!S15</f>
        <v/>
      </c>
      <c r="I29" s="142">
        <f>'5. الجدوى التمويلية'!F15</f>
        <v/>
      </c>
      <c r="J29" s="142">
        <f>'5. الجدوى التمويلية'!M15</f>
        <v/>
      </c>
      <c r="K29" s="139">
        <f>'5. الجدوى التمويلية'!N15</f>
        <v/>
      </c>
      <c r="L29" s="139">
        <f>'1. بيانات العميل'!R15</f>
        <v/>
      </c>
    </row>
    <row r="30" ht="19.5" customHeight="1" s="104">
      <c r="A30" s="143">
        <f>'1. بيانات العميل'!A16</f>
        <v/>
      </c>
      <c r="B30" s="144">
        <f>'1. بيانات العميل'!C16</f>
        <v/>
      </c>
      <c r="C30" s="143">
        <f>'1. بيانات العميل'!M16</f>
        <v/>
      </c>
      <c r="D30" s="145">
        <f>'2. الالتزامات'!N16</f>
        <v/>
      </c>
      <c r="E30" s="143">
        <f>'3. التنفيذات'!K16</f>
        <v/>
      </c>
      <c r="F30" s="143">
        <f>'4. محرك المخاطر'!P16</f>
        <v/>
      </c>
      <c r="G30" s="143">
        <f>'4. محرك المخاطر'!R16</f>
        <v/>
      </c>
      <c r="H30" s="143">
        <f>'4. محرك المخاطر'!S16</f>
        <v/>
      </c>
      <c r="I30" s="146">
        <f>'5. الجدوى التمويلية'!F16</f>
        <v/>
      </c>
      <c r="J30" s="146">
        <f>'5. الجدوى التمويلية'!M16</f>
        <v/>
      </c>
      <c r="K30" s="143">
        <f>'5. الجدوى التمويلية'!N16</f>
        <v/>
      </c>
      <c r="L30" s="143">
        <f>'1. بيانات العميل'!R16</f>
        <v/>
      </c>
    </row>
    <row r="31" ht="19.5" customHeight="1" s="104">
      <c r="A31" s="139">
        <f>'1. بيانات العميل'!A17</f>
        <v/>
      </c>
      <c r="B31" s="140">
        <f>'1. بيانات العميل'!C17</f>
        <v/>
      </c>
      <c r="C31" s="139">
        <f>'1. بيانات العميل'!M17</f>
        <v/>
      </c>
      <c r="D31" s="141">
        <f>'2. الالتزامات'!N17</f>
        <v/>
      </c>
      <c r="E31" s="139">
        <f>'3. التنفيذات'!K17</f>
        <v/>
      </c>
      <c r="F31" s="139">
        <f>'4. محرك المخاطر'!P17</f>
        <v/>
      </c>
      <c r="G31" s="139">
        <f>'4. محرك المخاطر'!R17</f>
        <v/>
      </c>
      <c r="H31" s="139">
        <f>'4. محرك المخاطر'!S17</f>
        <v/>
      </c>
      <c r="I31" s="142">
        <f>'5. الجدوى التمويلية'!F17</f>
        <v/>
      </c>
      <c r="J31" s="142">
        <f>'5. الجدوى التمويلية'!M17</f>
        <v/>
      </c>
      <c r="K31" s="139">
        <f>'5. الجدوى التمويلية'!N17</f>
        <v/>
      </c>
      <c r="L31" s="139">
        <f>'1. بيانات العميل'!R17</f>
        <v/>
      </c>
    </row>
    <row r="32" ht="19.5" customHeight="1" s="104">
      <c r="A32" s="143">
        <f>'1. بيانات العميل'!A18</f>
        <v/>
      </c>
      <c r="B32" s="144">
        <f>'1. بيانات العميل'!C18</f>
        <v/>
      </c>
      <c r="C32" s="143">
        <f>'1. بيانات العميل'!M18</f>
        <v/>
      </c>
      <c r="D32" s="145">
        <f>'2. الالتزامات'!N18</f>
        <v/>
      </c>
      <c r="E32" s="143">
        <f>'3. التنفيذات'!K18</f>
        <v/>
      </c>
      <c r="F32" s="143">
        <f>'4. محرك المخاطر'!P18</f>
        <v/>
      </c>
      <c r="G32" s="143">
        <f>'4. محرك المخاطر'!R18</f>
        <v/>
      </c>
      <c r="H32" s="143">
        <f>'4. محرك المخاطر'!S18</f>
        <v/>
      </c>
      <c r="I32" s="146">
        <f>'5. الجدوى التمويلية'!F18</f>
        <v/>
      </c>
      <c r="J32" s="146">
        <f>'5. الجدوى التمويلية'!M18</f>
        <v/>
      </c>
      <c r="K32" s="143">
        <f>'5. الجدوى التمويلية'!N18</f>
        <v/>
      </c>
      <c r="L32" s="143">
        <f>'1. بيانات العميل'!R18</f>
        <v/>
      </c>
    </row>
    <row r="33" ht="19.5" customHeight="1" s="104">
      <c r="A33" s="139">
        <f>'1. بيانات العميل'!A19</f>
        <v/>
      </c>
      <c r="B33" s="140">
        <f>'1. بيانات العميل'!C19</f>
        <v/>
      </c>
      <c r="C33" s="139">
        <f>'1. بيانات العميل'!M19</f>
        <v/>
      </c>
      <c r="D33" s="141">
        <f>'2. الالتزامات'!N19</f>
        <v/>
      </c>
      <c r="E33" s="139">
        <f>'3. التنفيذات'!K19</f>
        <v/>
      </c>
      <c r="F33" s="139">
        <f>'4. محرك المخاطر'!P19</f>
        <v/>
      </c>
      <c r="G33" s="139">
        <f>'4. محرك المخاطر'!R19</f>
        <v/>
      </c>
      <c r="H33" s="139">
        <f>'4. محرك المخاطر'!S19</f>
        <v/>
      </c>
      <c r="I33" s="142">
        <f>'5. الجدوى التمويلية'!F19</f>
        <v/>
      </c>
      <c r="J33" s="142">
        <f>'5. الجدوى التمويلية'!M19</f>
        <v/>
      </c>
      <c r="K33" s="139">
        <f>'5. الجدوى التمويلية'!N19</f>
        <v/>
      </c>
      <c r="L33" s="139">
        <f>'1. بيانات العميل'!R19</f>
        <v/>
      </c>
    </row>
    <row r="34" ht="19.5" customHeight="1" s="104">
      <c r="A34" s="143">
        <f>'1. بيانات العميل'!A20</f>
        <v/>
      </c>
      <c r="B34" s="144">
        <f>'1. بيانات العميل'!C20</f>
        <v/>
      </c>
      <c r="C34" s="143">
        <f>'1. بيانات العميل'!M20</f>
        <v/>
      </c>
      <c r="D34" s="145">
        <f>'2. الالتزامات'!N20</f>
        <v/>
      </c>
      <c r="E34" s="143">
        <f>'3. التنفيذات'!K20</f>
        <v/>
      </c>
      <c r="F34" s="143">
        <f>'4. محرك المخاطر'!P20</f>
        <v/>
      </c>
      <c r="G34" s="143">
        <f>'4. محرك المخاطر'!R20</f>
        <v/>
      </c>
      <c r="H34" s="143">
        <f>'4. محرك المخاطر'!S20</f>
        <v/>
      </c>
      <c r="I34" s="146">
        <f>'5. الجدوى التمويلية'!F20</f>
        <v/>
      </c>
      <c r="J34" s="146">
        <f>'5. الجدوى التمويلية'!M20</f>
        <v/>
      </c>
      <c r="K34" s="143">
        <f>'5. الجدوى التمويلية'!N20</f>
        <v/>
      </c>
      <c r="L34" s="143">
        <f>'1. بيانات العميل'!R20</f>
        <v/>
      </c>
    </row>
    <row r="35" ht="19.5" customHeight="1" s="104">
      <c r="A35" s="139">
        <f>'1. بيانات العميل'!A21</f>
        <v/>
      </c>
      <c r="B35" s="140">
        <f>'1. بيانات العميل'!C21</f>
        <v/>
      </c>
      <c r="C35" s="139">
        <f>'1. بيانات العميل'!M21</f>
        <v/>
      </c>
      <c r="D35" s="141">
        <f>'2. الالتزامات'!N21</f>
        <v/>
      </c>
      <c r="E35" s="139">
        <f>'3. التنفيذات'!K21</f>
        <v/>
      </c>
      <c r="F35" s="139">
        <f>'4. محرك المخاطر'!P21</f>
        <v/>
      </c>
      <c r="G35" s="139">
        <f>'4. محرك المخاطر'!R21</f>
        <v/>
      </c>
      <c r="H35" s="139">
        <f>'4. محرك المخاطر'!S21</f>
        <v/>
      </c>
      <c r="I35" s="142">
        <f>'5. الجدوى التمويلية'!F21</f>
        <v/>
      </c>
      <c r="J35" s="142">
        <f>'5. الجدوى التمويلية'!M21</f>
        <v/>
      </c>
      <c r="K35" s="139">
        <f>'5. الجدوى التمويلية'!N21</f>
        <v/>
      </c>
      <c r="L35" s="139">
        <f>'1. بيانات العميل'!R21</f>
        <v/>
      </c>
    </row>
    <row r="36" ht="19.5" customHeight="1" s="104">
      <c r="A36" s="143">
        <f>'1. بيانات العميل'!A22</f>
        <v/>
      </c>
      <c r="B36" s="144">
        <f>'1. بيانات العميل'!C22</f>
        <v/>
      </c>
      <c r="C36" s="143">
        <f>'1. بيانات العميل'!M22</f>
        <v/>
      </c>
      <c r="D36" s="145">
        <f>'2. الالتزامات'!N22</f>
        <v/>
      </c>
      <c r="E36" s="143">
        <f>'3. التنفيذات'!K22</f>
        <v/>
      </c>
      <c r="F36" s="143">
        <f>'4. محرك المخاطر'!P22</f>
        <v/>
      </c>
      <c r="G36" s="143">
        <f>'4. محرك المخاطر'!R22</f>
        <v/>
      </c>
      <c r="H36" s="143">
        <f>'4. محرك المخاطر'!S22</f>
        <v/>
      </c>
      <c r="I36" s="146">
        <f>'5. الجدوى التمويلية'!F22</f>
        <v/>
      </c>
      <c r="J36" s="146">
        <f>'5. الجدوى التمويلية'!M22</f>
        <v/>
      </c>
      <c r="K36" s="143">
        <f>'5. الجدوى التمويلية'!N22</f>
        <v/>
      </c>
      <c r="L36" s="143">
        <f>'1. بيانات العميل'!R22</f>
        <v/>
      </c>
    </row>
    <row r="37" ht="19.5" customHeight="1" s="104">
      <c r="A37" s="139">
        <f>'1. بيانات العميل'!A23</f>
        <v/>
      </c>
      <c r="B37" s="140">
        <f>'1. بيانات العميل'!C23</f>
        <v/>
      </c>
      <c r="C37" s="139">
        <f>'1. بيانات العميل'!M23</f>
        <v/>
      </c>
      <c r="D37" s="141">
        <f>'2. الالتزامات'!N23</f>
        <v/>
      </c>
      <c r="E37" s="139">
        <f>'3. التنفيذات'!K23</f>
        <v/>
      </c>
      <c r="F37" s="139">
        <f>'4. محرك المخاطر'!P23</f>
        <v/>
      </c>
      <c r="G37" s="139">
        <f>'4. محرك المخاطر'!R23</f>
        <v/>
      </c>
      <c r="H37" s="139">
        <f>'4. محرك المخاطر'!S23</f>
        <v/>
      </c>
      <c r="I37" s="142">
        <f>'5. الجدوى التمويلية'!F23</f>
        <v/>
      </c>
      <c r="J37" s="142">
        <f>'5. الجدوى التمويلية'!M23</f>
        <v/>
      </c>
      <c r="K37" s="139">
        <f>'5. الجدوى التمويلية'!N23</f>
        <v/>
      </c>
      <c r="L37" s="139">
        <f>'1. بيانات العميل'!R23</f>
        <v/>
      </c>
    </row>
    <row r="38" ht="19.5" customHeight="1" s="104">
      <c r="A38" s="143">
        <f>'1. بيانات العميل'!A24</f>
        <v/>
      </c>
      <c r="B38" s="144">
        <f>'1. بيانات العميل'!C24</f>
        <v/>
      </c>
      <c r="C38" s="143">
        <f>'1. بيانات العميل'!M24</f>
        <v/>
      </c>
      <c r="D38" s="145">
        <f>'2. الالتزامات'!N24</f>
        <v/>
      </c>
      <c r="E38" s="143">
        <f>'3. التنفيذات'!K24</f>
        <v/>
      </c>
      <c r="F38" s="143">
        <f>'4. محرك المخاطر'!P24</f>
        <v/>
      </c>
      <c r="G38" s="143">
        <f>'4. محرك المخاطر'!R24</f>
        <v/>
      </c>
      <c r="H38" s="143">
        <f>'4. محرك المخاطر'!S24</f>
        <v/>
      </c>
      <c r="I38" s="146">
        <f>'5. الجدوى التمويلية'!F24</f>
        <v/>
      </c>
      <c r="J38" s="146">
        <f>'5. الجدوى التمويلية'!M24</f>
        <v/>
      </c>
      <c r="K38" s="143">
        <f>'5. الجدوى التمويلية'!N24</f>
        <v/>
      </c>
      <c r="L38" s="143">
        <f>'1. بيانات العميل'!R24</f>
        <v/>
      </c>
    </row>
    <row r="39" ht="19.5" customHeight="1" s="104">
      <c r="A39" s="139">
        <f>'1. بيانات العميل'!A25</f>
        <v/>
      </c>
      <c r="B39" s="140">
        <f>'1. بيانات العميل'!C25</f>
        <v/>
      </c>
      <c r="C39" s="139">
        <f>'1. بيانات العميل'!M25</f>
        <v/>
      </c>
      <c r="D39" s="141">
        <f>'2. الالتزامات'!N25</f>
        <v/>
      </c>
      <c r="E39" s="139">
        <f>'3. التنفيذات'!K25</f>
        <v/>
      </c>
      <c r="F39" s="139">
        <f>'4. محرك المخاطر'!P25</f>
        <v/>
      </c>
      <c r="G39" s="139">
        <f>'4. محرك المخاطر'!R25</f>
        <v/>
      </c>
      <c r="H39" s="139">
        <f>'4. محرك المخاطر'!S25</f>
        <v/>
      </c>
      <c r="I39" s="142">
        <f>'5. الجدوى التمويلية'!F25</f>
        <v/>
      </c>
      <c r="J39" s="142">
        <f>'5. الجدوى التمويلية'!M25</f>
        <v/>
      </c>
      <c r="K39" s="139">
        <f>'5. الجدوى التمويلية'!N25</f>
        <v/>
      </c>
      <c r="L39" s="139">
        <f>'1. بيانات العميل'!R25</f>
        <v/>
      </c>
    </row>
    <row r="40" ht="19.5" customHeight="1" s="104">
      <c r="A40" s="143">
        <f>'1. بيانات العميل'!A26</f>
        <v/>
      </c>
      <c r="B40" s="144">
        <f>'1. بيانات العميل'!C26</f>
        <v/>
      </c>
      <c r="C40" s="143">
        <f>'1. بيانات العميل'!M26</f>
        <v/>
      </c>
      <c r="D40" s="145">
        <f>'2. الالتزامات'!N26</f>
        <v/>
      </c>
      <c r="E40" s="143">
        <f>'3. التنفيذات'!K26</f>
        <v/>
      </c>
      <c r="F40" s="143">
        <f>'4. محرك المخاطر'!P26</f>
        <v/>
      </c>
      <c r="G40" s="143">
        <f>'4. محرك المخاطر'!R26</f>
        <v/>
      </c>
      <c r="H40" s="143">
        <f>'4. محرك المخاطر'!S26</f>
        <v/>
      </c>
      <c r="I40" s="146">
        <f>'5. الجدوى التمويلية'!F26</f>
        <v/>
      </c>
      <c r="J40" s="146">
        <f>'5. الجدوى التمويلية'!M26</f>
        <v/>
      </c>
      <c r="K40" s="143">
        <f>'5. الجدوى التمويلية'!N26</f>
        <v/>
      </c>
      <c r="L40" s="143">
        <f>'1. بيانات العميل'!R26</f>
        <v/>
      </c>
    </row>
    <row r="41" ht="19.5" customHeight="1" s="104">
      <c r="A41" s="139">
        <f>'1. بيانات العميل'!A27</f>
        <v/>
      </c>
      <c r="B41" s="140">
        <f>'1. بيانات العميل'!C27</f>
        <v/>
      </c>
      <c r="C41" s="139">
        <f>'1. بيانات العميل'!M27</f>
        <v/>
      </c>
      <c r="D41" s="141">
        <f>'2. الالتزامات'!N27</f>
        <v/>
      </c>
      <c r="E41" s="139">
        <f>'3. التنفيذات'!K27</f>
        <v/>
      </c>
      <c r="F41" s="139">
        <f>'4. محرك المخاطر'!P27</f>
        <v/>
      </c>
      <c r="G41" s="139">
        <f>'4. محرك المخاطر'!R27</f>
        <v/>
      </c>
      <c r="H41" s="139">
        <f>'4. محرك المخاطر'!S27</f>
        <v/>
      </c>
      <c r="I41" s="142">
        <f>'5. الجدوى التمويلية'!F27</f>
        <v/>
      </c>
      <c r="J41" s="142">
        <f>'5. الجدوى التمويلية'!M27</f>
        <v/>
      </c>
      <c r="K41" s="139">
        <f>'5. الجدوى التمويلية'!N27</f>
        <v/>
      </c>
      <c r="L41" s="139">
        <f>'1. بيانات العميل'!R27</f>
        <v/>
      </c>
    </row>
    <row r="42" ht="19.5" customHeight="1" s="104">
      <c r="A42" s="143">
        <f>'1. بيانات العميل'!A28</f>
        <v/>
      </c>
      <c r="B42" s="144">
        <f>'1. بيانات العميل'!C28</f>
        <v/>
      </c>
      <c r="C42" s="143">
        <f>'1. بيانات العميل'!M28</f>
        <v/>
      </c>
      <c r="D42" s="145">
        <f>'2. الالتزامات'!N28</f>
        <v/>
      </c>
      <c r="E42" s="143">
        <f>'3. التنفيذات'!K28</f>
        <v/>
      </c>
      <c r="F42" s="143">
        <f>'4. محرك المخاطر'!P28</f>
        <v/>
      </c>
      <c r="G42" s="143">
        <f>'4. محرك المخاطر'!R28</f>
        <v/>
      </c>
      <c r="H42" s="143">
        <f>'4. محرك المخاطر'!S28</f>
        <v/>
      </c>
      <c r="I42" s="146">
        <f>'5. الجدوى التمويلية'!F28</f>
        <v/>
      </c>
      <c r="J42" s="146">
        <f>'5. الجدوى التمويلية'!M28</f>
        <v/>
      </c>
      <c r="K42" s="143">
        <f>'5. الجدوى التمويلية'!N28</f>
        <v/>
      </c>
      <c r="L42" s="143">
        <f>'1. بيانات العميل'!R28</f>
        <v/>
      </c>
    </row>
    <row r="43" ht="19.5" customHeight="1" s="104">
      <c r="A43" s="139">
        <f>'1. بيانات العميل'!A29</f>
        <v/>
      </c>
      <c r="B43" s="140">
        <f>'1. بيانات العميل'!C29</f>
        <v/>
      </c>
      <c r="C43" s="139">
        <f>'1. بيانات العميل'!M29</f>
        <v/>
      </c>
      <c r="D43" s="141">
        <f>'2. الالتزامات'!N29</f>
        <v/>
      </c>
      <c r="E43" s="139">
        <f>'3. التنفيذات'!K29</f>
        <v/>
      </c>
      <c r="F43" s="139">
        <f>'4. محرك المخاطر'!P29</f>
        <v/>
      </c>
      <c r="G43" s="139">
        <f>'4. محرك المخاطر'!R29</f>
        <v/>
      </c>
      <c r="H43" s="139">
        <f>'4. محرك المخاطر'!S29</f>
        <v/>
      </c>
      <c r="I43" s="142">
        <f>'5. الجدوى التمويلية'!F29</f>
        <v/>
      </c>
      <c r="J43" s="142">
        <f>'5. الجدوى التمويلية'!M29</f>
        <v/>
      </c>
      <c r="K43" s="139">
        <f>'5. الجدوى التمويلية'!N29</f>
        <v/>
      </c>
      <c r="L43" s="139">
        <f>'1. بيانات العميل'!R29</f>
        <v/>
      </c>
    </row>
    <row r="44" ht="19.5" customHeight="1" s="104">
      <c r="A44" s="143">
        <f>'1. بيانات العميل'!A30</f>
        <v/>
      </c>
      <c r="B44" s="144">
        <f>'1. بيانات العميل'!C30</f>
        <v/>
      </c>
      <c r="C44" s="143">
        <f>'1. بيانات العميل'!M30</f>
        <v/>
      </c>
      <c r="D44" s="145">
        <f>'2. الالتزامات'!N30</f>
        <v/>
      </c>
      <c r="E44" s="143">
        <f>'3. التنفيذات'!K30</f>
        <v/>
      </c>
      <c r="F44" s="143">
        <f>'4. محرك المخاطر'!P30</f>
        <v/>
      </c>
      <c r="G44" s="143">
        <f>'4. محرك المخاطر'!R30</f>
        <v/>
      </c>
      <c r="H44" s="143">
        <f>'4. محرك المخاطر'!S30</f>
        <v/>
      </c>
      <c r="I44" s="146">
        <f>'5. الجدوى التمويلية'!F30</f>
        <v/>
      </c>
      <c r="J44" s="146">
        <f>'5. الجدوى التمويلية'!M30</f>
        <v/>
      </c>
      <c r="K44" s="143">
        <f>'5. الجدوى التمويلية'!N30</f>
        <v/>
      </c>
      <c r="L44" s="143">
        <f>'1. بيانات العميل'!R30</f>
        <v/>
      </c>
    </row>
    <row r="45" ht="19.5" customHeight="1" s="104">
      <c r="A45" s="139">
        <f>'1. بيانات العميل'!A31</f>
        <v/>
      </c>
      <c r="B45" s="140">
        <f>'1. بيانات العميل'!C31</f>
        <v/>
      </c>
      <c r="C45" s="139">
        <f>'1. بيانات العميل'!M31</f>
        <v/>
      </c>
      <c r="D45" s="141">
        <f>'2. الالتزامات'!N31</f>
        <v/>
      </c>
      <c r="E45" s="139">
        <f>'3. التنفيذات'!K31</f>
        <v/>
      </c>
      <c r="F45" s="139">
        <f>'4. محرك المخاطر'!P31</f>
        <v/>
      </c>
      <c r="G45" s="139">
        <f>'4. محرك المخاطر'!R31</f>
        <v/>
      </c>
      <c r="H45" s="139">
        <f>'4. محرك المخاطر'!S31</f>
        <v/>
      </c>
      <c r="I45" s="142">
        <f>'5. الجدوى التمويلية'!F31</f>
        <v/>
      </c>
      <c r="J45" s="142">
        <f>'5. الجدوى التمويلية'!M31</f>
        <v/>
      </c>
      <c r="K45" s="139">
        <f>'5. الجدوى التمويلية'!N31</f>
        <v/>
      </c>
      <c r="L45" s="139">
        <f>'1. بيانات العميل'!R31</f>
        <v/>
      </c>
    </row>
    <row r="46" ht="19.5" customHeight="1" s="104">
      <c r="A46" s="143">
        <f>'1. بيانات العميل'!A32</f>
        <v/>
      </c>
      <c r="B46" s="144">
        <f>'1. بيانات العميل'!C32</f>
        <v/>
      </c>
      <c r="C46" s="143">
        <f>'1. بيانات العميل'!M32</f>
        <v/>
      </c>
      <c r="D46" s="145">
        <f>'2. الالتزامات'!N32</f>
        <v/>
      </c>
      <c r="E46" s="143">
        <f>'3. التنفيذات'!K32</f>
        <v/>
      </c>
      <c r="F46" s="143">
        <f>'4. محرك المخاطر'!P32</f>
        <v/>
      </c>
      <c r="G46" s="143">
        <f>'4. محرك المخاطر'!R32</f>
        <v/>
      </c>
      <c r="H46" s="143">
        <f>'4. محرك المخاطر'!S32</f>
        <v/>
      </c>
      <c r="I46" s="146">
        <f>'5. الجدوى التمويلية'!F32</f>
        <v/>
      </c>
      <c r="J46" s="146">
        <f>'5. الجدوى التمويلية'!M32</f>
        <v/>
      </c>
      <c r="K46" s="143">
        <f>'5. الجدوى التمويلية'!N32</f>
        <v/>
      </c>
      <c r="L46" s="143">
        <f>'1. بيانات العميل'!R32</f>
        <v/>
      </c>
    </row>
    <row r="47" ht="19.5" customHeight="1" s="104">
      <c r="A47" s="139">
        <f>'1. بيانات العميل'!A33</f>
        <v/>
      </c>
      <c r="B47" s="140">
        <f>'1. بيانات العميل'!C33</f>
        <v/>
      </c>
      <c r="C47" s="139">
        <f>'1. بيانات العميل'!M33</f>
        <v/>
      </c>
      <c r="D47" s="141">
        <f>'2. الالتزامات'!N33</f>
        <v/>
      </c>
      <c r="E47" s="139">
        <f>'3. التنفيذات'!K33</f>
        <v/>
      </c>
      <c r="F47" s="139">
        <f>'4. محرك المخاطر'!P33</f>
        <v/>
      </c>
      <c r="G47" s="139">
        <f>'4. محرك المخاطر'!R33</f>
        <v/>
      </c>
      <c r="H47" s="139">
        <f>'4. محرك المخاطر'!S33</f>
        <v/>
      </c>
      <c r="I47" s="142">
        <f>'5. الجدوى التمويلية'!F33</f>
        <v/>
      </c>
      <c r="J47" s="142">
        <f>'5. الجدوى التمويلية'!M33</f>
        <v/>
      </c>
      <c r="K47" s="139">
        <f>'5. الجدوى التمويلية'!N33</f>
        <v/>
      </c>
      <c r="L47" s="139">
        <f>'1. بيانات العميل'!R33</f>
        <v/>
      </c>
    </row>
    <row r="48" ht="19.5" customHeight="1" s="104">
      <c r="A48" s="143">
        <f>'1. بيانات العميل'!A34</f>
        <v/>
      </c>
      <c r="B48" s="144">
        <f>'1. بيانات العميل'!C34</f>
        <v/>
      </c>
      <c r="C48" s="143">
        <f>'1. بيانات العميل'!M34</f>
        <v/>
      </c>
      <c r="D48" s="145">
        <f>'2. الالتزامات'!N34</f>
        <v/>
      </c>
      <c r="E48" s="143">
        <f>'3. التنفيذات'!K34</f>
        <v/>
      </c>
      <c r="F48" s="143">
        <f>'4. محرك المخاطر'!P34</f>
        <v/>
      </c>
      <c r="G48" s="143">
        <f>'4. محرك المخاطر'!R34</f>
        <v/>
      </c>
      <c r="H48" s="143">
        <f>'4. محرك المخاطر'!S34</f>
        <v/>
      </c>
      <c r="I48" s="146">
        <f>'5. الجدوى التمويلية'!F34</f>
        <v/>
      </c>
      <c r="J48" s="146">
        <f>'5. الجدوى التمويلية'!M34</f>
        <v/>
      </c>
      <c r="K48" s="143">
        <f>'5. الجدوى التمويلية'!N34</f>
        <v/>
      </c>
      <c r="L48" s="143">
        <f>'1. بيانات العميل'!R34</f>
        <v/>
      </c>
    </row>
    <row r="49" ht="19.5" customHeight="1" s="104">
      <c r="A49" s="139">
        <f>'1. بيانات العميل'!A35</f>
        <v/>
      </c>
      <c r="B49" s="140">
        <f>'1. بيانات العميل'!C35</f>
        <v/>
      </c>
      <c r="C49" s="139">
        <f>'1. بيانات العميل'!M35</f>
        <v/>
      </c>
      <c r="D49" s="141">
        <f>'2. الالتزامات'!N35</f>
        <v/>
      </c>
      <c r="E49" s="139">
        <f>'3. التنفيذات'!K35</f>
        <v/>
      </c>
      <c r="F49" s="139">
        <f>'4. محرك المخاطر'!P35</f>
        <v/>
      </c>
      <c r="G49" s="139">
        <f>'4. محرك المخاطر'!R35</f>
        <v/>
      </c>
      <c r="H49" s="139">
        <f>'4. محرك المخاطر'!S35</f>
        <v/>
      </c>
      <c r="I49" s="142">
        <f>'5. الجدوى التمويلية'!F35</f>
        <v/>
      </c>
      <c r="J49" s="142">
        <f>'5. الجدوى التمويلية'!M35</f>
        <v/>
      </c>
      <c r="K49" s="139">
        <f>'5. الجدوى التمويلية'!N35</f>
        <v/>
      </c>
      <c r="L49" s="139">
        <f>'1. بيانات العميل'!R35</f>
        <v/>
      </c>
    </row>
    <row r="50" ht="19.5" customHeight="1" s="104">
      <c r="A50" s="143">
        <f>'1. بيانات العميل'!A36</f>
        <v/>
      </c>
      <c r="B50" s="144">
        <f>'1. بيانات العميل'!C36</f>
        <v/>
      </c>
      <c r="C50" s="143">
        <f>'1. بيانات العميل'!M36</f>
        <v/>
      </c>
      <c r="D50" s="145">
        <f>'2. الالتزامات'!N36</f>
        <v/>
      </c>
      <c r="E50" s="143">
        <f>'3. التنفيذات'!K36</f>
        <v/>
      </c>
      <c r="F50" s="143">
        <f>'4. محرك المخاطر'!P36</f>
        <v/>
      </c>
      <c r="G50" s="143">
        <f>'4. محرك المخاطر'!R36</f>
        <v/>
      </c>
      <c r="H50" s="143">
        <f>'4. محرك المخاطر'!S36</f>
        <v/>
      </c>
      <c r="I50" s="146">
        <f>'5. الجدوى التمويلية'!F36</f>
        <v/>
      </c>
      <c r="J50" s="146">
        <f>'5. الجدوى التمويلية'!M36</f>
        <v/>
      </c>
      <c r="K50" s="143">
        <f>'5. الجدوى التمويلية'!N36</f>
        <v/>
      </c>
      <c r="L50" s="143">
        <f>'1. بيانات العميل'!R36</f>
        <v/>
      </c>
    </row>
    <row r="51" ht="19.5" customHeight="1" s="104">
      <c r="A51" s="139">
        <f>'1. بيانات العميل'!A37</f>
        <v/>
      </c>
      <c r="B51" s="140">
        <f>'1. بيانات العميل'!C37</f>
        <v/>
      </c>
      <c r="C51" s="139">
        <f>'1. بيانات العميل'!M37</f>
        <v/>
      </c>
      <c r="D51" s="141">
        <f>'2. الالتزامات'!N37</f>
        <v/>
      </c>
      <c r="E51" s="139">
        <f>'3. التنفيذات'!K37</f>
        <v/>
      </c>
      <c r="F51" s="139">
        <f>'4. محرك المخاطر'!P37</f>
        <v/>
      </c>
      <c r="G51" s="139">
        <f>'4. محرك المخاطر'!R37</f>
        <v/>
      </c>
      <c r="H51" s="139">
        <f>'4. محرك المخاطر'!S37</f>
        <v/>
      </c>
      <c r="I51" s="142">
        <f>'5. الجدوى التمويلية'!F37</f>
        <v/>
      </c>
      <c r="J51" s="142">
        <f>'5. الجدوى التمويلية'!M37</f>
        <v/>
      </c>
      <c r="K51" s="139">
        <f>'5. الجدوى التمويلية'!N37</f>
        <v/>
      </c>
      <c r="L51" s="139">
        <f>'1. بيانات العميل'!R37</f>
        <v/>
      </c>
    </row>
    <row r="52" ht="19.5" customHeight="1" s="104">
      <c r="A52" s="143">
        <f>'1. بيانات العميل'!A38</f>
        <v/>
      </c>
      <c r="B52" s="144">
        <f>'1. بيانات العميل'!C38</f>
        <v/>
      </c>
      <c r="C52" s="143">
        <f>'1. بيانات العميل'!M38</f>
        <v/>
      </c>
      <c r="D52" s="145">
        <f>'2. الالتزامات'!N38</f>
        <v/>
      </c>
      <c r="E52" s="143">
        <f>'3. التنفيذات'!K38</f>
        <v/>
      </c>
      <c r="F52" s="143">
        <f>'4. محرك المخاطر'!P38</f>
        <v/>
      </c>
      <c r="G52" s="143">
        <f>'4. محرك المخاطر'!R38</f>
        <v/>
      </c>
      <c r="H52" s="143">
        <f>'4. محرك المخاطر'!S38</f>
        <v/>
      </c>
      <c r="I52" s="146">
        <f>'5. الجدوى التمويلية'!F38</f>
        <v/>
      </c>
      <c r="J52" s="146">
        <f>'5. الجدوى التمويلية'!M38</f>
        <v/>
      </c>
      <c r="K52" s="143">
        <f>'5. الجدوى التمويلية'!N38</f>
        <v/>
      </c>
      <c r="L52" s="143">
        <f>'1. بيانات العميل'!R38</f>
        <v/>
      </c>
    </row>
    <row r="53" ht="19.5" customHeight="1" s="104">
      <c r="A53" s="139">
        <f>'1. بيانات العميل'!A39</f>
        <v/>
      </c>
      <c r="B53" s="140">
        <f>'1. بيانات العميل'!C39</f>
        <v/>
      </c>
      <c r="C53" s="139">
        <f>'1. بيانات العميل'!M39</f>
        <v/>
      </c>
      <c r="D53" s="141">
        <f>'2. الالتزامات'!N39</f>
        <v/>
      </c>
      <c r="E53" s="139">
        <f>'3. التنفيذات'!K39</f>
        <v/>
      </c>
      <c r="F53" s="139">
        <f>'4. محرك المخاطر'!P39</f>
        <v/>
      </c>
      <c r="G53" s="139">
        <f>'4. محرك المخاطر'!R39</f>
        <v/>
      </c>
      <c r="H53" s="139">
        <f>'4. محرك المخاطر'!S39</f>
        <v/>
      </c>
      <c r="I53" s="142">
        <f>'5. الجدوى التمويلية'!F39</f>
        <v/>
      </c>
      <c r="J53" s="142">
        <f>'5. الجدوى التمويلية'!M39</f>
        <v/>
      </c>
      <c r="K53" s="139">
        <f>'5. الجدوى التمويلية'!N39</f>
        <v/>
      </c>
      <c r="L53" s="139">
        <f>'1. بيانات العميل'!R39</f>
        <v/>
      </c>
    </row>
    <row r="54" ht="19.5" customHeight="1" s="104">
      <c r="A54" s="143">
        <f>'1. بيانات العميل'!A40</f>
        <v/>
      </c>
      <c r="B54" s="144">
        <f>'1. بيانات العميل'!C40</f>
        <v/>
      </c>
      <c r="C54" s="143">
        <f>'1. بيانات العميل'!M40</f>
        <v/>
      </c>
      <c r="D54" s="145">
        <f>'2. الالتزامات'!N40</f>
        <v/>
      </c>
      <c r="E54" s="143">
        <f>'3. التنفيذات'!K40</f>
        <v/>
      </c>
      <c r="F54" s="143">
        <f>'4. محرك المخاطر'!P40</f>
        <v/>
      </c>
      <c r="G54" s="143">
        <f>'4. محرك المخاطر'!R40</f>
        <v/>
      </c>
      <c r="H54" s="143">
        <f>'4. محرك المخاطر'!S40</f>
        <v/>
      </c>
      <c r="I54" s="146">
        <f>'5. الجدوى التمويلية'!F40</f>
        <v/>
      </c>
      <c r="J54" s="146">
        <f>'5. الجدوى التمويلية'!M40</f>
        <v/>
      </c>
      <c r="K54" s="143">
        <f>'5. الجدوى التمويلية'!N40</f>
        <v/>
      </c>
      <c r="L54" s="143">
        <f>'1. بيانات العميل'!R40</f>
        <v/>
      </c>
    </row>
    <row r="55" ht="19.5" customHeight="1" s="104">
      <c r="A55" s="139">
        <f>'1. بيانات العميل'!A41</f>
        <v/>
      </c>
      <c r="B55" s="140">
        <f>'1. بيانات العميل'!C41</f>
        <v/>
      </c>
      <c r="C55" s="139">
        <f>'1. بيانات العميل'!M41</f>
        <v/>
      </c>
      <c r="D55" s="141">
        <f>'2. الالتزامات'!N41</f>
        <v/>
      </c>
      <c r="E55" s="139">
        <f>'3. التنفيذات'!K41</f>
        <v/>
      </c>
      <c r="F55" s="139">
        <f>'4. محرك المخاطر'!P41</f>
        <v/>
      </c>
      <c r="G55" s="139">
        <f>'4. محرك المخاطر'!R41</f>
        <v/>
      </c>
      <c r="H55" s="139">
        <f>'4. محرك المخاطر'!S41</f>
        <v/>
      </c>
      <c r="I55" s="142">
        <f>'5. الجدوى التمويلية'!F41</f>
        <v/>
      </c>
      <c r="J55" s="142">
        <f>'5. الجدوى التمويلية'!M41</f>
        <v/>
      </c>
      <c r="K55" s="139">
        <f>'5. الجدوى التمويلية'!N41</f>
        <v/>
      </c>
      <c r="L55" s="139">
        <f>'1. بيانات العميل'!R41</f>
        <v/>
      </c>
    </row>
    <row r="56" ht="19.5" customHeight="1" s="104">
      <c r="A56" s="143">
        <f>'1. بيانات العميل'!A42</f>
        <v/>
      </c>
      <c r="B56" s="144">
        <f>'1. بيانات العميل'!C42</f>
        <v/>
      </c>
      <c r="C56" s="143">
        <f>'1. بيانات العميل'!M42</f>
        <v/>
      </c>
      <c r="D56" s="145">
        <f>'2. الالتزامات'!N42</f>
        <v/>
      </c>
      <c r="E56" s="143">
        <f>'3. التنفيذات'!K42</f>
        <v/>
      </c>
      <c r="F56" s="143">
        <f>'4. محرك المخاطر'!P42</f>
        <v/>
      </c>
      <c r="G56" s="143">
        <f>'4. محرك المخاطر'!R42</f>
        <v/>
      </c>
      <c r="H56" s="143">
        <f>'4. محرك المخاطر'!S42</f>
        <v/>
      </c>
      <c r="I56" s="146">
        <f>'5. الجدوى التمويلية'!F42</f>
        <v/>
      </c>
      <c r="J56" s="146">
        <f>'5. الجدوى التمويلية'!M42</f>
        <v/>
      </c>
      <c r="K56" s="143">
        <f>'5. الجدوى التمويلية'!N42</f>
        <v/>
      </c>
      <c r="L56" s="143">
        <f>'1. بيانات العميل'!R42</f>
        <v/>
      </c>
    </row>
    <row r="57" ht="19.5" customHeight="1" s="104">
      <c r="A57" s="139">
        <f>'1. بيانات العميل'!A43</f>
        <v/>
      </c>
      <c r="B57" s="140">
        <f>'1. بيانات العميل'!C43</f>
        <v/>
      </c>
      <c r="C57" s="139">
        <f>'1. بيانات العميل'!M43</f>
        <v/>
      </c>
      <c r="D57" s="141">
        <f>'2. الالتزامات'!N43</f>
        <v/>
      </c>
      <c r="E57" s="139">
        <f>'3. التنفيذات'!K43</f>
        <v/>
      </c>
      <c r="F57" s="139">
        <f>'4. محرك المخاطر'!P43</f>
        <v/>
      </c>
      <c r="G57" s="139">
        <f>'4. محرك المخاطر'!R43</f>
        <v/>
      </c>
      <c r="H57" s="139">
        <f>'4. محرك المخاطر'!S43</f>
        <v/>
      </c>
      <c r="I57" s="142">
        <f>'5. الجدوى التمويلية'!F43</f>
        <v/>
      </c>
      <c r="J57" s="142">
        <f>'5. الجدوى التمويلية'!M43</f>
        <v/>
      </c>
      <c r="K57" s="139">
        <f>'5. الجدوى التمويلية'!N43</f>
        <v/>
      </c>
      <c r="L57" s="139">
        <f>'1. بيانات العميل'!R43</f>
        <v/>
      </c>
    </row>
    <row r="58" ht="19.5" customHeight="1" s="104">
      <c r="A58" s="143">
        <f>'1. بيانات العميل'!A44</f>
        <v/>
      </c>
      <c r="B58" s="144">
        <f>'1. بيانات العميل'!C44</f>
        <v/>
      </c>
      <c r="C58" s="143">
        <f>'1. بيانات العميل'!M44</f>
        <v/>
      </c>
      <c r="D58" s="145">
        <f>'2. الالتزامات'!N44</f>
        <v/>
      </c>
      <c r="E58" s="143">
        <f>'3. التنفيذات'!K44</f>
        <v/>
      </c>
      <c r="F58" s="143">
        <f>'4. محرك المخاطر'!P44</f>
        <v/>
      </c>
      <c r="G58" s="143">
        <f>'4. محرك المخاطر'!R44</f>
        <v/>
      </c>
      <c r="H58" s="143">
        <f>'4. محرك المخاطر'!S44</f>
        <v/>
      </c>
      <c r="I58" s="146">
        <f>'5. الجدوى التمويلية'!F44</f>
        <v/>
      </c>
      <c r="J58" s="146">
        <f>'5. الجدوى التمويلية'!M44</f>
        <v/>
      </c>
      <c r="K58" s="143">
        <f>'5. الجدوى التمويلية'!N44</f>
        <v/>
      </c>
      <c r="L58" s="143">
        <f>'1. بيانات العميل'!R44</f>
        <v/>
      </c>
    </row>
    <row r="59" ht="19.5" customHeight="1" s="104">
      <c r="A59" s="139">
        <f>'1. بيانات العميل'!A45</f>
        <v/>
      </c>
      <c r="B59" s="140">
        <f>'1. بيانات العميل'!C45</f>
        <v/>
      </c>
      <c r="C59" s="139">
        <f>'1. بيانات العميل'!M45</f>
        <v/>
      </c>
      <c r="D59" s="141">
        <f>'2. الالتزامات'!N45</f>
        <v/>
      </c>
      <c r="E59" s="139">
        <f>'3. التنفيذات'!K45</f>
        <v/>
      </c>
      <c r="F59" s="139">
        <f>'4. محرك المخاطر'!P45</f>
        <v/>
      </c>
      <c r="G59" s="139">
        <f>'4. محرك المخاطر'!R45</f>
        <v/>
      </c>
      <c r="H59" s="139">
        <f>'4. محرك المخاطر'!S45</f>
        <v/>
      </c>
      <c r="I59" s="142">
        <f>'5. الجدوى التمويلية'!F45</f>
        <v/>
      </c>
      <c r="J59" s="142">
        <f>'5. الجدوى التمويلية'!M45</f>
        <v/>
      </c>
      <c r="K59" s="139">
        <f>'5. الجدوى التمويلية'!N45</f>
        <v/>
      </c>
      <c r="L59" s="139">
        <f>'1. بيانات العميل'!R45</f>
        <v/>
      </c>
    </row>
    <row r="60" ht="19.5" customHeight="1" s="104">
      <c r="A60" s="143">
        <f>'1. بيانات العميل'!A46</f>
        <v/>
      </c>
      <c r="B60" s="144">
        <f>'1. بيانات العميل'!C46</f>
        <v/>
      </c>
      <c r="C60" s="143">
        <f>'1. بيانات العميل'!M46</f>
        <v/>
      </c>
      <c r="D60" s="145">
        <f>'2. الالتزامات'!N46</f>
        <v/>
      </c>
      <c r="E60" s="143">
        <f>'3. التنفيذات'!K46</f>
        <v/>
      </c>
      <c r="F60" s="143">
        <f>'4. محرك المخاطر'!P46</f>
        <v/>
      </c>
      <c r="G60" s="143">
        <f>'4. محرك المخاطر'!R46</f>
        <v/>
      </c>
      <c r="H60" s="143">
        <f>'4. محرك المخاطر'!S46</f>
        <v/>
      </c>
      <c r="I60" s="146">
        <f>'5. الجدوى التمويلية'!F46</f>
        <v/>
      </c>
      <c r="J60" s="146">
        <f>'5. الجدوى التمويلية'!M46</f>
        <v/>
      </c>
      <c r="K60" s="143">
        <f>'5. الجدوى التمويلية'!N46</f>
        <v/>
      </c>
      <c r="L60" s="143">
        <f>'1. بيانات العميل'!R46</f>
        <v/>
      </c>
    </row>
    <row r="61" ht="19.5" customHeight="1" s="104">
      <c r="A61" s="139">
        <f>'1. بيانات العميل'!A47</f>
        <v/>
      </c>
      <c r="B61" s="140">
        <f>'1. بيانات العميل'!C47</f>
        <v/>
      </c>
      <c r="C61" s="139">
        <f>'1. بيانات العميل'!M47</f>
        <v/>
      </c>
      <c r="D61" s="141">
        <f>'2. الالتزامات'!N47</f>
        <v/>
      </c>
      <c r="E61" s="139">
        <f>'3. التنفيذات'!K47</f>
        <v/>
      </c>
      <c r="F61" s="139">
        <f>'4. محرك المخاطر'!P47</f>
        <v/>
      </c>
      <c r="G61" s="139">
        <f>'4. محرك المخاطر'!R47</f>
        <v/>
      </c>
      <c r="H61" s="139">
        <f>'4. محرك المخاطر'!S47</f>
        <v/>
      </c>
      <c r="I61" s="142">
        <f>'5. الجدوى التمويلية'!F47</f>
        <v/>
      </c>
      <c r="J61" s="142">
        <f>'5. الجدوى التمويلية'!M47</f>
        <v/>
      </c>
      <c r="K61" s="139">
        <f>'5. الجدوى التمويلية'!N47</f>
        <v/>
      </c>
      <c r="L61" s="139">
        <f>'1. بيانات العميل'!R47</f>
        <v/>
      </c>
    </row>
    <row r="62" ht="19.5" customHeight="1" s="104">
      <c r="A62" s="143">
        <f>'1. بيانات العميل'!A48</f>
        <v/>
      </c>
      <c r="B62" s="144">
        <f>'1. بيانات العميل'!C48</f>
        <v/>
      </c>
      <c r="C62" s="143">
        <f>'1. بيانات العميل'!M48</f>
        <v/>
      </c>
      <c r="D62" s="145">
        <f>'2. الالتزامات'!N48</f>
        <v/>
      </c>
      <c r="E62" s="143">
        <f>'3. التنفيذات'!K48</f>
        <v/>
      </c>
      <c r="F62" s="143">
        <f>'4. محرك المخاطر'!P48</f>
        <v/>
      </c>
      <c r="G62" s="143">
        <f>'4. محرك المخاطر'!R48</f>
        <v/>
      </c>
      <c r="H62" s="143">
        <f>'4. محرك المخاطر'!S48</f>
        <v/>
      </c>
      <c r="I62" s="146">
        <f>'5. الجدوى التمويلية'!F48</f>
        <v/>
      </c>
      <c r="J62" s="146">
        <f>'5. الجدوى التمويلية'!M48</f>
        <v/>
      </c>
      <c r="K62" s="143">
        <f>'5. الجدوى التمويلية'!N48</f>
        <v/>
      </c>
      <c r="L62" s="143">
        <f>'1. بيانات العميل'!R48</f>
        <v/>
      </c>
    </row>
    <row r="63" ht="19.5" customHeight="1" s="104">
      <c r="A63" s="139">
        <f>'1. بيانات العميل'!A49</f>
        <v/>
      </c>
      <c r="B63" s="140">
        <f>'1. بيانات العميل'!C49</f>
        <v/>
      </c>
      <c r="C63" s="139">
        <f>'1. بيانات العميل'!M49</f>
        <v/>
      </c>
      <c r="D63" s="141">
        <f>'2. الالتزامات'!N49</f>
        <v/>
      </c>
      <c r="E63" s="139">
        <f>'3. التنفيذات'!K49</f>
        <v/>
      </c>
      <c r="F63" s="139">
        <f>'4. محرك المخاطر'!P49</f>
        <v/>
      </c>
      <c r="G63" s="139">
        <f>'4. محرك المخاطر'!R49</f>
        <v/>
      </c>
      <c r="H63" s="139">
        <f>'4. محرك المخاطر'!S49</f>
        <v/>
      </c>
      <c r="I63" s="142">
        <f>'5. الجدوى التمويلية'!F49</f>
        <v/>
      </c>
      <c r="J63" s="142">
        <f>'5. الجدوى التمويلية'!M49</f>
        <v/>
      </c>
      <c r="K63" s="139">
        <f>'5. الجدوى التمويلية'!N49</f>
        <v/>
      </c>
      <c r="L63" s="139">
        <f>'1. بيانات العميل'!R49</f>
        <v/>
      </c>
    </row>
    <row r="64" ht="19.5" customHeight="1" s="104">
      <c r="A64" s="143">
        <f>'1. بيانات العميل'!A50</f>
        <v/>
      </c>
      <c r="B64" s="144">
        <f>'1. بيانات العميل'!C50</f>
        <v/>
      </c>
      <c r="C64" s="143">
        <f>'1. بيانات العميل'!M50</f>
        <v/>
      </c>
      <c r="D64" s="145">
        <f>'2. الالتزامات'!N50</f>
        <v/>
      </c>
      <c r="E64" s="143">
        <f>'3. التنفيذات'!K50</f>
        <v/>
      </c>
      <c r="F64" s="143">
        <f>'4. محرك المخاطر'!P50</f>
        <v/>
      </c>
      <c r="G64" s="143">
        <f>'4. محرك المخاطر'!R50</f>
        <v/>
      </c>
      <c r="H64" s="143">
        <f>'4. محرك المخاطر'!S50</f>
        <v/>
      </c>
      <c r="I64" s="146">
        <f>'5. الجدوى التمويلية'!F50</f>
        <v/>
      </c>
      <c r="J64" s="146">
        <f>'5. الجدوى التمويلية'!M50</f>
        <v/>
      </c>
      <c r="K64" s="143">
        <f>'5. الجدوى التمويلية'!N50</f>
        <v/>
      </c>
      <c r="L64" s="143">
        <f>'1. بيانات العميل'!R50</f>
        <v/>
      </c>
    </row>
    <row r="65" ht="19.5" customHeight="1" s="104">
      <c r="A65" s="139">
        <f>'1. بيانات العميل'!A51</f>
        <v/>
      </c>
      <c r="B65" s="140">
        <f>'1. بيانات العميل'!C51</f>
        <v/>
      </c>
      <c r="C65" s="139">
        <f>'1. بيانات العميل'!M51</f>
        <v/>
      </c>
      <c r="D65" s="141">
        <f>'2. الالتزامات'!N51</f>
        <v/>
      </c>
      <c r="E65" s="139">
        <f>'3. التنفيذات'!K51</f>
        <v/>
      </c>
      <c r="F65" s="139">
        <f>'4. محرك المخاطر'!P51</f>
        <v/>
      </c>
      <c r="G65" s="139">
        <f>'4. محرك المخاطر'!R51</f>
        <v/>
      </c>
      <c r="H65" s="139">
        <f>'4. محرك المخاطر'!S51</f>
        <v/>
      </c>
      <c r="I65" s="142">
        <f>'5. الجدوى التمويلية'!F51</f>
        <v/>
      </c>
      <c r="J65" s="142">
        <f>'5. الجدوى التمويلية'!M51</f>
        <v/>
      </c>
      <c r="K65" s="139">
        <f>'5. الجدوى التمويلية'!N51</f>
        <v/>
      </c>
      <c r="L65" s="139">
        <f>'1. بيانات العميل'!R51</f>
        <v/>
      </c>
    </row>
    <row r="66" ht="19.5" customHeight="1" s="104">
      <c r="A66" s="143">
        <f>'1. بيانات العميل'!A52</f>
        <v/>
      </c>
      <c r="B66" s="144">
        <f>'1. بيانات العميل'!C52</f>
        <v/>
      </c>
      <c r="C66" s="143">
        <f>'1. بيانات العميل'!M52</f>
        <v/>
      </c>
      <c r="D66" s="145">
        <f>'2. الالتزامات'!N52</f>
        <v/>
      </c>
      <c r="E66" s="143">
        <f>'3. التنفيذات'!K52</f>
        <v/>
      </c>
      <c r="F66" s="143">
        <f>'4. محرك المخاطر'!P52</f>
        <v/>
      </c>
      <c r="G66" s="143">
        <f>'4. محرك المخاطر'!R52</f>
        <v/>
      </c>
      <c r="H66" s="143">
        <f>'4. محرك المخاطر'!S52</f>
        <v/>
      </c>
      <c r="I66" s="146">
        <f>'5. الجدوى التمويلية'!F52</f>
        <v/>
      </c>
      <c r="J66" s="146">
        <f>'5. الجدوى التمويلية'!M52</f>
        <v/>
      </c>
      <c r="K66" s="143">
        <f>'5. الجدوى التمويلية'!N52</f>
        <v/>
      </c>
      <c r="L66" s="143">
        <f>'1. بيانات العميل'!R52</f>
        <v/>
      </c>
    </row>
    <row r="67" ht="19.5" customHeight="1" s="104">
      <c r="A67" s="139">
        <f>'1. بيانات العميل'!A53</f>
        <v/>
      </c>
      <c r="B67" s="140">
        <f>'1. بيانات العميل'!C53</f>
        <v/>
      </c>
      <c r="C67" s="139">
        <f>'1. بيانات العميل'!M53</f>
        <v/>
      </c>
      <c r="D67" s="141">
        <f>'2. الالتزامات'!N53</f>
        <v/>
      </c>
      <c r="E67" s="139">
        <f>'3. التنفيذات'!K53</f>
        <v/>
      </c>
      <c r="F67" s="139">
        <f>'4. محرك المخاطر'!P53</f>
        <v/>
      </c>
      <c r="G67" s="139">
        <f>'4. محرك المخاطر'!R53</f>
        <v/>
      </c>
      <c r="H67" s="139">
        <f>'4. محرك المخاطر'!S53</f>
        <v/>
      </c>
      <c r="I67" s="142">
        <f>'5. الجدوى التمويلية'!F53</f>
        <v/>
      </c>
      <c r="J67" s="142">
        <f>'5. الجدوى التمويلية'!M53</f>
        <v/>
      </c>
      <c r="K67" s="139">
        <f>'5. الجدوى التمويلية'!N53</f>
        <v/>
      </c>
      <c r="L67" s="139">
        <f>'1. بيانات العميل'!R53</f>
        <v/>
      </c>
    </row>
    <row r="68" ht="19.5" customHeight="1" s="104">
      <c r="A68" s="143">
        <f>'1. بيانات العميل'!A54</f>
        <v/>
      </c>
      <c r="B68" s="144">
        <f>'1. بيانات العميل'!C54</f>
        <v/>
      </c>
      <c r="C68" s="143">
        <f>'1. بيانات العميل'!M54</f>
        <v/>
      </c>
      <c r="D68" s="145">
        <f>'2. الالتزامات'!N54</f>
        <v/>
      </c>
      <c r="E68" s="143">
        <f>'3. التنفيذات'!K54</f>
        <v/>
      </c>
      <c r="F68" s="143">
        <f>'4. محرك المخاطر'!P54</f>
        <v/>
      </c>
      <c r="G68" s="143">
        <f>'4. محرك المخاطر'!R54</f>
        <v/>
      </c>
      <c r="H68" s="143">
        <f>'4. محرك المخاطر'!S54</f>
        <v/>
      </c>
      <c r="I68" s="146">
        <f>'5. الجدوى التمويلية'!F54</f>
        <v/>
      </c>
      <c r="J68" s="146">
        <f>'5. الجدوى التمويلية'!M54</f>
        <v/>
      </c>
      <c r="K68" s="143">
        <f>'5. الجدوى التمويلية'!N54</f>
        <v/>
      </c>
      <c r="L68" s="143">
        <f>'1. بيانات العميل'!R54</f>
        <v/>
      </c>
    </row>
    <row r="69" ht="19.5" customHeight="1" s="104">
      <c r="A69" s="139">
        <f>'1. بيانات العميل'!A55</f>
        <v/>
      </c>
      <c r="B69" s="140">
        <f>'1. بيانات العميل'!C55</f>
        <v/>
      </c>
      <c r="C69" s="139">
        <f>'1. بيانات العميل'!M55</f>
        <v/>
      </c>
      <c r="D69" s="141">
        <f>'2. الالتزامات'!N55</f>
        <v/>
      </c>
      <c r="E69" s="139">
        <f>'3. التنفيذات'!K55</f>
        <v/>
      </c>
      <c r="F69" s="139">
        <f>'4. محرك المخاطر'!P55</f>
        <v/>
      </c>
      <c r="G69" s="139">
        <f>'4. محرك المخاطر'!R55</f>
        <v/>
      </c>
      <c r="H69" s="139">
        <f>'4. محرك المخاطر'!S55</f>
        <v/>
      </c>
      <c r="I69" s="142">
        <f>'5. الجدوى التمويلية'!F55</f>
        <v/>
      </c>
      <c r="J69" s="142">
        <f>'5. الجدوى التمويلية'!M55</f>
        <v/>
      </c>
      <c r="K69" s="139">
        <f>'5. الجدوى التمويلية'!N55</f>
        <v/>
      </c>
      <c r="L69" s="139">
        <f>'1. بيانات العميل'!R55</f>
        <v/>
      </c>
    </row>
    <row r="70" ht="19.5" customHeight="1" s="104">
      <c r="A70" s="143">
        <f>'1. بيانات العميل'!A56</f>
        <v/>
      </c>
      <c r="B70" s="144">
        <f>'1. بيانات العميل'!C56</f>
        <v/>
      </c>
      <c r="C70" s="143">
        <f>'1. بيانات العميل'!M56</f>
        <v/>
      </c>
      <c r="D70" s="145">
        <f>'2. الالتزامات'!N56</f>
        <v/>
      </c>
      <c r="E70" s="143">
        <f>'3. التنفيذات'!K56</f>
        <v/>
      </c>
      <c r="F70" s="143">
        <f>'4. محرك المخاطر'!P56</f>
        <v/>
      </c>
      <c r="G70" s="143">
        <f>'4. محرك المخاطر'!R56</f>
        <v/>
      </c>
      <c r="H70" s="143">
        <f>'4. محرك المخاطر'!S56</f>
        <v/>
      </c>
      <c r="I70" s="146">
        <f>'5. الجدوى التمويلية'!F56</f>
        <v/>
      </c>
      <c r="J70" s="146">
        <f>'5. الجدوى التمويلية'!M56</f>
        <v/>
      </c>
      <c r="K70" s="143">
        <f>'5. الجدوى التمويلية'!N56</f>
        <v/>
      </c>
      <c r="L70" s="143">
        <f>'1. بيانات العميل'!R56</f>
        <v/>
      </c>
    </row>
  </sheetData>
  <mergeCells count="21">
    <mergeCell ref="C6:D6"/>
    <mergeCell ref="I6:J6"/>
    <mergeCell ref="O6:P6"/>
    <mergeCell ref="A6:B6"/>
    <mergeCell ref="A19:P19"/>
    <mergeCell ref="A4:B5"/>
    <mergeCell ref="G4:H5"/>
    <mergeCell ref="I4:J5"/>
    <mergeCell ref="K4:L5"/>
    <mergeCell ref="G6:H6"/>
    <mergeCell ref="M4:N5"/>
    <mergeCell ref="E6:F6"/>
    <mergeCell ref="M6:N6"/>
    <mergeCell ref="A1:P1"/>
    <mergeCell ref="C4:D5"/>
    <mergeCell ref="O4:P5"/>
    <mergeCell ref="E4:F5"/>
    <mergeCell ref="A10:H10"/>
    <mergeCell ref="I10:P10"/>
    <mergeCell ref="K6:L6"/>
    <mergeCell ref="A2:P2"/>
  </mergeCells>
  <conditionalFormatting sqref="G21:G70">
    <cfRule type="cellIs" rank="0" priority="2" equalAverage="0" operator="equal" aboveAverage="0" dxfId="0" text="" percent="0" bottom="0">
      <formula>"A"</formula>
    </cfRule>
    <cfRule type="cellIs" rank="0" priority="3" equalAverage="0" operator="equal" aboveAverage="0" dxfId="1" text="" percent="0" bottom="0">
      <formula>"B"</formula>
    </cfRule>
    <cfRule type="cellIs" rank="0" priority="4" equalAverage="0" operator="equal" aboveAverage="0" dxfId="2" text="" percent="0" bottom="0">
      <formula>"C"</formula>
    </cfRule>
    <cfRule type="cellIs" rank="0" priority="5" equalAverage="0" operator="equal" aboveAverage="0" dxfId="3" text="" percent="0" bottom="0">
      <formula>"D"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R5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14" customWidth="1" style="103" min="2" max="2"/>
    <col width="28" customWidth="1" style="103" min="3" max="3"/>
    <col width="15" customWidth="1" style="103" min="4" max="4"/>
    <col width="14" customWidth="1" style="103" min="5" max="5"/>
    <col width="7" customWidth="1" style="103" min="6" max="6"/>
    <col width="25" customWidth="1" style="103" min="7" max="7"/>
    <col width="14" customWidth="1" style="103" min="8" max="11"/>
    <col width="12" customWidth="1" style="103" min="12" max="12"/>
    <col width="10" customWidth="1" style="103" min="13" max="13"/>
    <col width="12" customWidth="1" style="103" min="14" max="14"/>
    <col width="10" customWidth="1" style="103" min="15" max="15"/>
    <col width="12" customWidth="1" style="103" min="16" max="17"/>
    <col width="20" customWidth="1" style="103" min="18" max="18"/>
  </cols>
  <sheetData>
    <row r="1" ht="49.5" customHeight="1" s="104">
      <c r="A1" s="147" t="inlineStr">
        <is>
          <t>🏦  نظام تحليل العملاء والجدارة الائتمانية  |  Credit Risk &amp; Client Analysis System</t>
        </is>
      </c>
    </row>
    <row r="2" ht="18" customHeight="1" s="104">
      <c r="A2" s="148" t="inlineStr">
        <is>
          <t>📋  بيانات العميل - Client Data Entry  |  رقم الملف يولد تلقائياً</t>
        </is>
      </c>
    </row>
    <row r="3" ht="36" customHeight="1" s="104">
      <c r="A3" s="138" t="inlineStr">
        <is>
          <t>رقم الملف
File No.</t>
        </is>
      </c>
      <c r="B3" s="138" t="inlineStr">
        <is>
          <t>تاريخ الإدخال
Date</t>
        </is>
      </c>
      <c r="C3" s="138" t="inlineStr">
        <is>
          <t>اسم العميل
Name</t>
        </is>
      </c>
      <c r="D3" s="138" t="inlineStr">
        <is>
          <t>رقم الهوية
ID</t>
        </is>
      </c>
      <c r="E3" s="138" t="inlineStr">
        <is>
          <t>رقم الجوال
Mobile</t>
        </is>
      </c>
      <c r="F3" s="138" t="inlineStr">
        <is>
          <t>العمر
Age</t>
        </is>
      </c>
      <c r="G3" s="138" t="inlineStr">
        <is>
          <t>جهة العمل
Employer</t>
        </is>
      </c>
      <c r="H3" s="138" t="inlineStr">
        <is>
          <t>نوع جهة العمل
Emp. Type</t>
        </is>
      </c>
      <c r="I3" s="138" t="inlineStr">
        <is>
          <t>الراتب الأساسي
Basic Sal.</t>
        </is>
      </c>
      <c r="J3" s="138" t="inlineStr">
        <is>
          <t>إجمالي الراتب
Gross Sal.</t>
        </is>
      </c>
      <c r="K3" s="138" t="inlineStr">
        <is>
          <t>صافي الراتب
Net Sal.</t>
        </is>
      </c>
      <c r="L3" s="138" t="inlineStr">
        <is>
          <t>مدة الخدمة(شهر)
Svc. Months</t>
        </is>
      </c>
      <c r="M3" s="138" t="inlineStr">
        <is>
          <t>درجة سمة
SIMAH</t>
        </is>
      </c>
      <c r="N3" s="138" t="inlineStr">
        <is>
          <t>عدد الاستعلامات
90 Days Inq.</t>
        </is>
      </c>
      <c r="O3" s="138" t="inlineStr">
        <is>
          <t>تعثر قائم؟
Default?</t>
        </is>
      </c>
      <c r="P3" s="138" t="inlineStr">
        <is>
          <t>إيقاف خدمات؟
Blacklist?</t>
        </is>
      </c>
      <c r="Q3" s="138" t="inlineStr">
        <is>
          <t>حجز راتب؟
Sal. Attach?</t>
        </is>
      </c>
      <c r="R3" s="138" t="inlineStr">
        <is>
          <t>مرحلة الملف
Workflow</t>
        </is>
      </c>
    </row>
    <row r="4" ht="15" customHeight="1" s="104">
      <c r="A4" s="149">
        <f>IF(C4&lt;&gt;"","ملف-"&amp;TEXT(ROW()-3,"000"),"")</f>
        <v/>
      </c>
      <c r="B4" s="150">
        <f>IF(C4&lt;&gt;"",TODAY(),"")</f>
        <v/>
      </c>
      <c r="C4" s="151" t="inlineStr">
        <is>
          <t>محمد عبد الرحمن العتيبي</t>
        </is>
      </c>
      <c r="D4" s="152" t="inlineStr">
        <is>
          <t>1023456789</t>
        </is>
      </c>
      <c r="E4" s="152" t="inlineStr">
        <is>
          <t>0501234567</t>
        </is>
      </c>
      <c r="F4" s="152" t="n">
        <v>38</v>
      </c>
      <c r="G4" s="151" t="inlineStr">
        <is>
          <t>وزارة التعليم</t>
        </is>
      </c>
      <c r="H4" s="152" t="inlineStr">
        <is>
          <t>حكومي</t>
        </is>
      </c>
      <c r="I4" s="152" t="n">
        <v>12000</v>
      </c>
      <c r="J4" s="152" t="n">
        <v>15000</v>
      </c>
      <c r="K4" s="152" t="n">
        <v>14200</v>
      </c>
      <c r="L4" s="152" t="n">
        <v>72</v>
      </c>
      <c r="M4" s="152" t="n">
        <v>780</v>
      </c>
      <c r="N4" s="152" t="n">
        <v>2</v>
      </c>
      <c r="O4" s="152" t="inlineStr">
        <is>
          <t>لا</t>
        </is>
      </c>
      <c r="P4" s="152" t="inlineStr">
        <is>
          <t>لا</t>
        </is>
      </c>
      <c r="Q4" s="152" t="inlineStr">
        <is>
          <t>لا</t>
        </is>
      </c>
      <c r="R4" s="153">
        <f>IF(C4&lt;&gt;"","جديد","")</f>
        <v/>
      </c>
    </row>
    <row r="5" ht="15" customHeight="1" s="104">
      <c r="A5" s="149">
        <f>IF(C5&lt;&gt;"","ملف-"&amp;TEXT(ROW()-3,"000"),"")</f>
        <v/>
      </c>
      <c r="B5" s="150">
        <f>IF(C5&lt;&gt;"",TODAY(),"")</f>
        <v/>
      </c>
      <c r="C5" s="151" t="inlineStr">
        <is>
          <t>خالد عبد الله الحربي</t>
        </is>
      </c>
      <c r="D5" s="152" t="inlineStr">
        <is>
          <t>1045678901</t>
        </is>
      </c>
      <c r="E5" s="152" t="inlineStr">
        <is>
          <t>0555678901</t>
        </is>
      </c>
      <c r="F5" s="152" t="n">
        <v>42</v>
      </c>
      <c r="G5" s="151" t="inlineStr">
        <is>
          <t>الشركة السعودية للكهرباء</t>
        </is>
      </c>
      <c r="H5" s="152" t="inlineStr">
        <is>
          <t>شبه حكومي</t>
        </is>
      </c>
      <c r="I5" s="152" t="n">
        <v>10000</v>
      </c>
      <c r="J5" s="152" t="n">
        <v>12000</v>
      </c>
      <c r="K5" s="152" t="n">
        <v>11500</v>
      </c>
      <c r="L5" s="152" t="n">
        <v>96</v>
      </c>
      <c r="M5" s="152" t="n">
        <v>680</v>
      </c>
      <c r="N5" s="152" t="n">
        <v>4</v>
      </c>
      <c r="O5" s="152" t="inlineStr">
        <is>
          <t>لا</t>
        </is>
      </c>
      <c r="P5" s="152" t="inlineStr">
        <is>
          <t>لا</t>
        </is>
      </c>
      <c r="Q5" s="152" t="inlineStr">
        <is>
          <t>لا</t>
        </is>
      </c>
      <c r="R5" s="153">
        <f>IF(C5&lt;&gt;"","جديد","")</f>
        <v/>
      </c>
    </row>
    <row r="6" ht="15" customHeight="1" s="104">
      <c r="A6" s="149">
        <f>IF(C6&lt;&gt;"","ملف-"&amp;TEXT(ROW()-3,"000"),"")</f>
        <v/>
      </c>
      <c r="B6" s="150">
        <f>IF(C6&lt;&gt;"",TODAY(),"")</f>
        <v/>
      </c>
      <c r="C6" s="151" t="inlineStr">
        <is>
          <t>سارة أحمد الشمري</t>
        </is>
      </c>
      <c r="D6" s="152" t="inlineStr">
        <is>
          <t>1067890123</t>
        </is>
      </c>
      <c r="E6" s="152" t="inlineStr">
        <is>
          <t>0533456789</t>
        </is>
      </c>
      <c r="F6" s="152" t="n">
        <v>31</v>
      </c>
      <c r="G6" s="151" t="inlineStr">
        <is>
          <t>شركة سابك</t>
        </is>
      </c>
      <c r="H6" s="152" t="inlineStr">
        <is>
          <t>خاص كبير</t>
        </is>
      </c>
      <c r="I6" s="152" t="n">
        <v>18000</v>
      </c>
      <c r="J6" s="152" t="n">
        <v>22000</v>
      </c>
      <c r="K6" s="152" t="n">
        <v>20500</v>
      </c>
      <c r="L6" s="152" t="n">
        <v>36</v>
      </c>
      <c r="M6" s="152" t="n">
        <v>610</v>
      </c>
      <c r="N6" s="152" t="n">
        <v>5</v>
      </c>
      <c r="O6" s="152" t="inlineStr">
        <is>
          <t>لا</t>
        </is>
      </c>
      <c r="P6" s="152" t="inlineStr">
        <is>
          <t>لا</t>
        </is>
      </c>
      <c r="Q6" s="152" t="inlineStr">
        <is>
          <t>لا</t>
        </is>
      </c>
      <c r="R6" s="153">
        <f>IF(C6&lt;&gt;"","جديد","")</f>
        <v/>
      </c>
    </row>
    <row r="7" ht="15" customHeight="1" s="104">
      <c r="A7" s="149">
        <f>IF(C7&lt;&gt;"","ملف-"&amp;TEXT(ROW()-3,"000"),"")</f>
        <v/>
      </c>
      <c r="B7" s="150">
        <f>IF(C7&lt;&gt;"",TODAY(),"")</f>
        <v/>
      </c>
      <c r="C7" s="151" t="inlineStr">
        <is>
          <t>فيصل عمر المطيري</t>
        </is>
      </c>
      <c r="D7" s="152" t="inlineStr">
        <is>
          <t>1089012345</t>
        </is>
      </c>
      <c r="E7" s="152" t="inlineStr">
        <is>
          <t>0544567890</t>
        </is>
      </c>
      <c r="F7" s="152" t="n">
        <v>45</v>
      </c>
      <c r="G7" s="151" t="inlineStr">
        <is>
          <t>مؤسسة مقاولات صغيرة</t>
        </is>
      </c>
      <c r="H7" s="152" t="inlineStr">
        <is>
          <t>خاص صغير</t>
        </is>
      </c>
      <c r="I7" s="152" t="n">
        <v>6000</v>
      </c>
      <c r="J7" s="152" t="n">
        <v>8000</v>
      </c>
      <c r="K7" s="152" t="n">
        <v>7500</v>
      </c>
      <c r="L7" s="152" t="n">
        <v>18</v>
      </c>
      <c r="M7" s="152" t="n">
        <v>520</v>
      </c>
      <c r="N7" s="152" t="n">
        <v>7</v>
      </c>
      <c r="O7" s="152" t="inlineStr">
        <is>
          <t>لا</t>
        </is>
      </c>
      <c r="P7" s="152" t="inlineStr">
        <is>
          <t>لا</t>
        </is>
      </c>
      <c r="Q7" s="152" t="inlineStr">
        <is>
          <t>لا</t>
        </is>
      </c>
      <c r="R7" s="153">
        <f>IF(C7&lt;&gt;"","جديد","")</f>
        <v/>
      </c>
    </row>
    <row r="8" ht="15" customHeight="1" s="104">
      <c r="A8" s="149">
        <f>IF(C8&lt;&gt;"","ملف-"&amp;TEXT(ROW()-3,"000"),"")</f>
        <v/>
      </c>
      <c r="B8" s="150">
        <f>IF(C8&lt;&gt;"",TODAY(),"")</f>
        <v/>
      </c>
      <c r="C8" s="151" t="inlineStr">
        <is>
          <t>عبد الرحمن فهد القحطاني</t>
        </is>
      </c>
      <c r="D8" s="152" t="inlineStr">
        <is>
          <t>1090123456</t>
        </is>
      </c>
      <c r="E8" s="152" t="inlineStr">
        <is>
          <t>0566789012</t>
        </is>
      </c>
      <c r="F8" s="152" t="n">
        <v>35</v>
      </c>
      <c r="G8" s="151" t="inlineStr">
        <is>
          <t>شركة النقل البري</t>
        </is>
      </c>
      <c r="H8" s="152" t="inlineStr">
        <is>
          <t>خاص كبير</t>
        </is>
      </c>
      <c r="I8" s="152" t="n">
        <v>9000</v>
      </c>
      <c r="J8" s="152" t="n">
        <v>11000</v>
      </c>
      <c r="K8" s="152" t="n">
        <v>10200</v>
      </c>
      <c r="L8" s="152" t="n">
        <v>24</v>
      </c>
      <c r="M8" s="152" t="n">
        <v>640</v>
      </c>
      <c r="N8" s="152" t="n">
        <v>3</v>
      </c>
      <c r="O8" s="152" t="inlineStr">
        <is>
          <t>لا</t>
        </is>
      </c>
      <c r="P8" s="152" t="inlineStr">
        <is>
          <t>نعم</t>
        </is>
      </c>
      <c r="Q8" s="152" t="inlineStr">
        <is>
          <t>لا</t>
        </is>
      </c>
      <c r="R8" s="153">
        <f>IF(C8&lt;&gt;"","جديد","")</f>
        <v/>
      </c>
    </row>
    <row r="9" ht="15" customHeight="1" s="104">
      <c r="A9" s="149">
        <f>IF(C9&lt;&gt;"","ملف-"&amp;TEXT(ROW()-3,"000"),"")</f>
        <v/>
      </c>
      <c r="B9" s="150">
        <f>IF(C9&lt;&gt;"",TODAY(),"")</f>
        <v/>
      </c>
      <c r="C9" s="151" t="n"/>
      <c r="D9" s="152" t="n"/>
      <c r="E9" s="152" t="n"/>
      <c r="F9" s="152" t="n"/>
      <c r="G9" s="151" t="n"/>
      <c r="H9" s="152" t="n"/>
      <c r="I9" s="152" t="n"/>
      <c r="J9" s="152" t="n"/>
      <c r="K9" s="152" t="n"/>
      <c r="L9" s="152" t="n"/>
      <c r="M9" s="152" t="n"/>
      <c r="N9" s="152" t="n"/>
      <c r="O9" s="152" t="n"/>
      <c r="P9" s="152" t="n"/>
      <c r="Q9" s="152" t="n"/>
      <c r="R9" s="153">
        <f>IF(C9&lt;&gt;"","جديد","")</f>
        <v/>
      </c>
    </row>
    <row r="10" ht="15" customHeight="1" s="104">
      <c r="A10" s="149">
        <f>IF(C10&lt;&gt;"","ملف-"&amp;TEXT(ROW()-3,"000"),"")</f>
        <v/>
      </c>
      <c r="B10" s="150">
        <f>IF(C10&lt;&gt;"",TODAY(),"")</f>
        <v/>
      </c>
      <c r="C10" s="151" t="n"/>
      <c r="D10" s="152" t="n"/>
      <c r="E10" s="152" t="n"/>
      <c r="F10" s="152" t="n"/>
      <c r="G10" s="151" t="n"/>
      <c r="H10" s="152" t="n"/>
      <c r="I10" s="152" t="n"/>
      <c r="J10" s="152" t="n"/>
      <c r="K10" s="152" t="n"/>
      <c r="L10" s="152" t="n"/>
      <c r="M10" s="152" t="n"/>
      <c r="N10" s="152" t="n"/>
      <c r="O10" s="152" t="n"/>
      <c r="P10" s="152" t="n"/>
      <c r="Q10" s="152" t="n"/>
      <c r="R10" s="153">
        <f>IF(C10&lt;&gt;"","جديد","")</f>
        <v/>
      </c>
    </row>
    <row r="11" ht="15" customHeight="1" s="104">
      <c r="A11" s="149">
        <f>IF(C11&lt;&gt;"","ملف-"&amp;TEXT(ROW()-3,"000"),"")</f>
        <v/>
      </c>
      <c r="B11" s="150">
        <f>IF(C11&lt;&gt;"",TODAY(),"")</f>
        <v/>
      </c>
      <c r="C11" s="151" t="n"/>
      <c r="D11" s="152" t="n"/>
      <c r="E11" s="152" t="n"/>
      <c r="F11" s="152" t="n"/>
      <c r="G11" s="151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3">
        <f>IF(C11&lt;&gt;"","جديد","")</f>
        <v/>
      </c>
    </row>
    <row r="12" ht="15" customHeight="1" s="104">
      <c r="A12" s="149">
        <f>IF(C12&lt;&gt;"","ملف-"&amp;TEXT(ROW()-3,"000"),"")</f>
        <v/>
      </c>
      <c r="B12" s="150">
        <f>IF(C12&lt;&gt;"",TODAY(),"")</f>
        <v/>
      </c>
      <c r="C12" s="151" t="n"/>
      <c r="D12" s="152" t="n"/>
      <c r="E12" s="152" t="n"/>
      <c r="F12" s="152" t="n"/>
      <c r="G12" s="151" t="n"/>
      <c r="H12" s="152" t="n"/>
      <c r="I12" s="152" t="n"/>
      <c r="J12" s="152" t="n"/>
      <c r="K12" s="152" t="n"/>
      <c r="L12" s="152" t="n"/>
      <c r="M12" s="152" t="n"/>
      <c r="N12" s="152" t="n"/>
      <c r="O12" s="152" t="n"/>
      <c r="P12" s="152" t="n"/>
      <c r="Q12" s="152" t="n"/>
      <c r="R12" s="153">
        <f>IF(C12&lt;&gt;"","جديد","")</f>
        <v/>
      </c>
    </row>
    <row r="13" ht="15" customHeight="1" s="104">
      <c r="A13" s="149">
        <f>IF(C13&lt;&gt;"","ملف-"&amp;TEXT(ROW()-3,"000"),"")</f>
        <v/>
      </c>
      <c r="B13" s="150">
        <f>IF(C13&lt;&gt;"",TODAY(),"")</f>
        <v/>
      </c>
      <c r="C13" s="151" t="n"/>
      <c r="D13" s="152" t="n"/>
      <c r="E13" s="152" t="n"/>
      <c r="F13" s="152" t="n"/>
      <c r="G13" s="151" t="n"/>
      <c r="H13" s="152" t="n"/>
      <c r="I13" s="152" t="n"/>
      <c r="J13" s="152" t="n"/>
      <c r="K13" s="152" t="n"/>
      <c r="L13" s="152" t="n"/>
      <c r="M13" s="152" t="n"/>
      <c r="N13" s="152" t="n"/>
      <c r="O13" s="152" t="n"/>
      <c r="P13" s="152" t="n"/>
      <c r="Q13" s="152" t="n"/>
      <c r="R13" s="153">
        <f>IF(C13&lt;&gt;"","جديد","")</f>
        <v/>
      </c>
    </row>
    <row r="14" ht="15" customHeight="1" s="104">
      <c r="A14" s="149">
        <f>IF(C14&lt;&gt;"","ملف-"&amp;TEXT(ROW()-3,"000"),"")</f>
        <v/>
      </c>
      <c r="B14" s="150">
        <f>IF(C14&lt;&gt;"",TODAY(),"")</f>
        <v/>
      </c>
      <c r="C14" s="151" t="n"/>
      <c r="D14" s="152" t="n"/>
      <c r="E14" s="152" t="n"/>
      <c r="F14" s="152" t="n"/>
      <c r="G14" s="151" t="n"/>
      <c r="H14" s="152" t="n"/>
      <c r="I14" s="152" t="n"/>
      <c r="J14" s="152" t="n"/>
      <c r="K14" s="152" t="n"/>
      <c r="L14" s="152" t="n"/>
      <c r="M14" s="152" t="n"/>
      <c r="N14" s="152" t="n"/>
      <c r="O14" s="152" t="n"/>
      <c r="P14" s="152" t="n"/>
      <c r="Q14" s="152" t="n"/>
      <c r="R14" s="153">
        <f>IF(C14&lt;&gt;"","جديد","")</f>
        <v/>
      </c>
    </row>
    <row r="15" ht="15" customHeight="1" s="104">
      <c r="A15" s="149">
        <f>IF(C15&lt;&gt;"","ملف-"&amp;TEXT(ROW()-3,"000"),"")</f>
        <v/>
      </c>
      <c r="B15" s="150">
        <f>IF(C15&lt;&gt;"",TODAY(),"")</f>
        <v/>
      </c>
      <c r="C15" s="151" t="n"/>
      <c r="D15" s="152" t="n"/>
      <c r="E15" s="152" t="n"/>
      <c r="F15" s="152" t="n"/>
      <c r="G15" s="151" t="n"/>
      <c r="H15" s="152" t="n"/>
      <c r="I15" s="152" t="n"/>
      <c r="J15" s="152" t="n"/>
      <c r="K15" s="152" t="n"/>
      <c r="L15" s="152" t="n"/>
      <c r="M15" s="152" t="n"/>
      <c r="N15" s="152" t="n"/>
      <c r="O15" s="152" t="n"/>
      <c r="P15" s="152" t="n"/>
      <c r="Q15" s="152" t="n"/>
      <c r="R15" s="153">
        <f>IF(C15&lt;&gt;"","جديد","")</f>
        <v/>
      </c>
    </row>
    <row r="16" ht="15" customHeight="1" s="104">
      <c r="A16" s="149">
        <f>IF(C16&lt;&gt;"","ملف-"&amp;TEXT(ROW()-3,"000"),"")</f>
        <v/>
      </c>
      <c r="B16" s="150">
        <f>IF(C16&lt;&gt;"",TODAY(),"")</f>
        <v/>
      </c>
      <c r="C16" s="151" t="n"/>
      <c r="D16" s="152" t="n"/>
      <c r="E16" s="152" t="n"/>
      <c r="F16" s="152" t="n"/>
      <c r="G16" s="151" t="n"/>
      <c r="H16" s="152" t="n"/>
      <c r="I16" s="152" t="n"/>
      <c r="J16" s="152" t="n"/>
      <c r="K16" s="152" t="n"/>
      <c r="L16" s="152" t="n"/>
      <c r="M16" s="152" t="n"/>
      <c r="N16" s="152" t="n"/>
      <c r="O16" s="152" t="n"/>
      <c r="P16" s="152" t="n"/>
      <c r="Q16" s="152" t="n"/>
      <c r="R16" s="153">
        <f>IF(C16&lt;&gt;"","جديد","")</f>
        <v/>
      </c>
    </row>
    <row r="17" ht="15" customHeight="1" s="104">
      <c r="A17" s="149">
        <f>IF(C17&lt;&gt;"","ملف-"&amp;TEXT(ROW()-3,"000"),"")</f>
        <v/>
      </c>
      <c r="B17" s="150">
        <f>IF(C17&lt;&gt;"",TODAY(),"")</f>
        <v/>
      </c>
      <c r="C17" s="151" t="n"/>
      <c r="D17" s="152" t="n"/>
      <c r="E17" s="152" t="n"/>
      <c r="F17" s="152" t="n"/>
      <c r="G17" s="151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3">
        <f>IF(C17&lt;&gt;"","جديد","")</f>
        <v/>
      </c>
    </row>
    <row r="18" ht="15" customHeight="1" s="104">
      <c r="A18" s="149">
        <f>IF(C18&lt;&gt;"","ملف-"&amp;TEXT(ROW()-3,"000"),"")</f>
        <v/>
      </c>
      <c r="B18" s="150">
        <f>IF(C18&lt;&gt;"",TODAY(),"")</f>
        <v/>
      </c>
      <c r="C18" s="151" t="n"/>
      <c r="D18" s="152" t="n"/>
      <c r="E18" s="152" t="n"/>
      <c r="F18" s="152" t="n"/>
      <c r="G18" s="151" t="n"/>
      <c r="H18" s="152" t="n"/>
      <c r="I18" s="152" t="n"/>
      <c r="J18" s="152" t="n"/>
      <c r="K18" s="152" t="n"/>
      <c r="L18" s="152" t="n"/>
      <c r="M18" s="152" t="n"/>
      <c r="N18" s="152" t="n"/>
      <c r="O18" s="152" t="n"/>
      <c r="P18" s="152" t="n"/>
      <c r="Q18" s="152" t="n"/>
      <c r="R18" s="153">
        <f>IF(C18&lt;&gt;"","جديد","")</f>
        <v/>
      </c>
    </row>
    <row r="19" ht="15" customHeight="1" s="104">
      <c r="A19" s="149">
        <f>IF(C19&lt;&gt;"","ملف-"&amp;TEXT(ROW()-3,"000"),"")</f>
        <v/>
      </c>
      <c r="B19" s="150">
        <f>IF(C19&lt;&gt;"",TODAY(),"")</f>
        <v/>
      </c>
      <c r="C19" s="151" t="n"/>
      <c r="D19" s="152" t="n"/>
      <c r="E19" s="152" t="n"/>
      <c r="F19" s="152" t="n"/>
      <c r="G19" s="151" t="n"/>
      <c r="H19" s="152" t="n"/>
      <c r="I19" s="152" t="n"/>
      <c r="J19" s="152" t="n"/>
      <c r="K19" s="152" t="n"/>
      <c r="L19" s="152" t="n"/>
      <c r="M19" s="152" t="n"/>
      <c r="N19" s="152" t="n"/>
      <c r="O19" s="152" t="n"/>
      <c r="P19" s="152" t="n"/>
      <c r="Q19" s="152" t="n"/>
      <c r="R19" s="153">
        <f>IF(C19&lt;&gt;"","جديد","")</f>
        <v/>
      </c>
    </row>
    <row r="20" ht="15" customHeight="1" s="104">
      <c r="A20" s="149">
        <f>IF(C20&lt;&gt;"","ملف-"&amp;TEXT(ROW()-3,"000"),"")</f>
        <v/>
      </c>
      <c r="B20" s="150">
        <f>IF(C20&lt;&gt;"",TODAY(),"")</f>
        <v/>
      </c>
      <c r="C20" s="151" t="n"/>
      <c r="D20" s="152" t="n"/>
      <c r="E20" s="152" t="n"/>
      <c r="F20" s="152" t="n"/>
      <c r="G20" s="151" t="n"/>
      <c r="H20" s="152" t="n"/>
      <c r="I20" s="152" t="n"/>
      <c r="J20" s="152" t="n"/>
      <c r="K20" s="152" t="n"/>
      <c r="L20" s="152" t="n"/>
      <c r="M20" s="152" t="n"/>
      <c r="N20" s="152" t="n"/>
      <c r="O20" s="152" t="n"/>
      <c r="P20" s="152" t="n"/>
      <c r="Q20" s="152" t="n"/>
      <c r="R20" s="153">
        <f>IF(C20&lt;&gt;"","جديد","")</f>
        <v/>
      </c>
    </row>
    <row r="21" ht="15" customHeight="1" s="104">
      <c r="A21" s="149">
        <f>IF(C21&lt;&gt;"","ملف-"&amp;TEXT(ROW()-3,"000"),"")</f>
        <v/>
      </c>
      <c r="B21" s="150">
        <f>IF(C21&lt;&gt;"",TODAY(),"")</f>
        <v/>
      </c>
      <c r="C21" s="151" t="n"/>
      <c r="D21" s="152" t="n"/>
      <c r="E21" s="152" t="n"/>
      <c r="F21" s="152" t="n"/>
      <c r="G21" s="151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3">
        <f>IF(C21&lt;&gt;"","جديد","")</f>
        <v/>
      </c>
    </row>
    <row r="22" ht="15" customHeight="1" s="104">
      <c r="A22" s="149">
        <f>IF(C22&lt;&gt;"","ملف-"&amp;TEXT(ROW()-3,"000"),"")</f>
        <v/>
      </c>
      <c r="B22" s="150">
        <f>IF(C22&lt;&gt;"",TODAY(),"")</f>
        <v/>
      </c>
      <c r="C22" s="151" t="n"/>
      <c r="D22" s="152" t="n"/>
      <c r="E22" s="152" t="n"/>
      <c r="F22" s="152" t="n"/>
      <c r="G22" s="151" t="n"/>
      <c r="H22" s="152" t="n"/>
      <c r="I22" s="152" t="n"/>
      <c r="J22" s="152" t="n"/>
      <c r="K22" s="152" t="n"/>
      <c r="L22" s="152" t="n"/>
      <c r="M22" s="152" t="n"/>
      <c r="N22" s="152" t="n"/>
      <c r="O22" s="152" t="n"/>
      <c r="P22" s="152" t="n"/>
      <c r="Q22" s="152" t="n"/>
      <c r="R22" s="153">
        <f>IF(C22&lt;&gt;"","جديد","")</f>
        <v/>
      </c>
    </row>
    <row r="23" ht="15" customHeight="1" s="104">
      <c r="A23" s="149">
        <f>IF(C23&lt;&gt;"","ملف-"&amp;TEXT(ROW()-3,"000"),"")</f>
        <v/>
      </c>
      <c r="B23" s="150">
        <f>IF(C23&lt;&gt;"",TODAY(),"")</f>
        <v/>
      </c>
      <c r="C23" s="151" t="n"/>
      <c r="D23" s="152" t="n"/>
      <c r="E23" s="152" t="n"/>
      <c r="F23" s="152" t="n"/>
      <c r="G23" s="151" t="n"/>
      <c r="H23" s="152" t="n"/>
      <c r="I23" s="152" t="n"/>
      <c r="J23" s="152" t="n"/>
      <c r="K23" s="152" t="n"/>
      <c r="L23" s="152" t="n"/>
      <c r="M23" s="152" t="n"/>
      <c r="N23" s="152" t="n"/>
      <c r="O23" s="152" t="n"/>
      <c r="P23" s="152" t="n"/>
      <c r="Q23" s="152" t="n"/>
      <c r="R23" s="153">
        <f>IF(C23&lt;&gt;"","جديد","")</f>
        <v/>
      </c>
    </row>
    <row r="24" ht="15" customHeight="1" s="104">
      <c r="A24" s="149">
        <f>IF(C24&lt;&gt;"","ملف-"&amp;TEXT(ROW()-3,"000"),"")</f>
        <v/>
      </c>
      <c r="B24" s="150">
        <f>IF(C24&lt;&gt;"",TODAY(),"")</f>
        <v/>
      </c>
      <c r="C24" s="151" t="n"/>
      <c r="D24" s="152" t="n"/>
      <c r="E24" s="152" t="n"/>
      <c r="F24" s="152" t="n"/>
      <c r="G24" s="151" t="n"/>
      <c r="H24" s="152" t="n"/>
      <c r="I24" s="152" t="n"/>
      <c r="J24" s="152" t="n"/>
      <c r="K24" s="152" t="n"/>
      <c r="L24" s="152" t="n"/>
      <c r="M24" s="152" t="n"/>
      <c r="N24" s="152" t="n"/>
      <c r="O24" s="152" t="n"/>
      <c r="P24" s="152" t="n"/>
      <c r="Q24" s="152" t="n"/>
      <c r="R24" s="153">
        <f>IF(C24&lt;&gt;"","جديد","")</f>
        <v/>
      </c>
    </row>
    <row r="25" ht="15" customHeight="1" s="104">
      <c r="A25" s="149">
        <f>IF(C25&lt;&gt;"","ملف-"&amp;TEXT(ROW()-3,"000"),"")</f>
        <v/>
      </c>
      <c r="B25" s="150">
        <f>IF(C25&lt;&gt;"",TODAY(),"")</f>
        <v/>
      </c>
      <c r="C25" s="151" t="n"/>
      <c r="D25" s="152" t="n"/>
      <c r="E25" s="152" t="n"/>
      <c r="F25" s="152" t="n"/>
      <c r="G25" s="151" t="n"/>
      <c r="H25" s="152" t="n"/>
      <c r="I25" s="152" t="n"/>
      <c r="J25" s="152" t="n"/>
      <c r="K25" s="152" t="n"/>
      <c r="L25" s="152" t="n"/>
      <c r="M25" s="152" t="n"/>
      <c r="N25" s="152" t="n"/>
      <c r="O25" s="152" t="n"/>
      <c r="P25" s="152" t="n"/>
      <c r="Q25" s="152" t="n"/>
      <c r="R25" s="153">
        <f>IF(C25&lt;&gt;"","جديد","")</f>
        <v/>
      </c>
    </row>
    <row r="26" ht="15" customHeight="1" s="104">
      <c r="A26" s="149">
        <f>IF(C26&lt;&gt;"","ملف-"&amp;TEXT(ROW()-3,"000"),"")</f>
        <v/>
      </c>
      <c r="B26" s="150">
        <f>IF(C26&lt;&gt;"",TODAY(),"")</f>
        <v/>
      </c>
      <c r="C26" s="151" t="n"/>
      <c r="D26" s="152" t="n"/>
      <c r="E26" s="152" t="n"/>
      <c r="F26" s="152" t="n"/>
      <c r="G26" s="151" t="n"/>
      <c r="H26" s="152" t="n"/>
      <c r="I26" s="152" t="n"/>
      <c r="J26" s="152" t="n"/>
      <c r="K26" s="152" t="n"/>
      <c r="L26" s="152" t="n"/>
      <c r="M26" s="152" t="n"/>
      <c r="N26" s="152" t="n"/>
      <c r="O26" s="152" t="n"/>
      <c r="P26" s="152" t="n"/>
      <c r="Q26" s="152" t="n"/>
      <c r="R26" s="153">
        <f>IF(C26&lt;&gt;"","جديد","")</f>
        <v/>
      </c>
    </row>
    <row r="27" ht="15" customHeight="1" s="104">
      <c r="A27" s="149">
        <f>IF(C27&lt;&gt;"","ملف-"&amp;TEXT(ROW()-3,"000"),"")</f>
        <v/>
      </c>
      <c r="B27" s="150">
        <f>IF(C27&lt;&gt;"",TODAY(),"")</f>
        <v/>
      </c>
      <c r="C27" s="151" t="n"/>
      <c r="D27" s="152" t="n"/>
      <c r="E27" s="152" t="n"/>
      <c r="F27" s="152" t="n"/>
      <c r="G27" s="151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3">
        <f>IF(C27&lt;&gt;"","جديد","")</f>
        <v/>
      </c>
    </row>
    <row r="28" ht="15" customHeight="1" s="104">
      <c r="A28" s="149">
        <f>IF(C28&lt;&gt;"","ملف-"&amp;TEXT(ROW()-3,"000"),"")</f>
        <v/>
      </c>
      <c r="B28" s="150">
        <f>IF(C28&lt;&gt;"",TODAY(),"")</f>
        <v/>
      </c>
      <c r="C28" s="151" t="n"/>
      <c r="D28" s="152" t="n"/>
      <c r="E28" s="152" t="n"/>
      <c r="F28" s="152" t="n"/>
      <c r="G28" s="151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3">
        <f>IF(C28&lt;&gt;"","جديد","")</f>
        <v/>
      </c>
    </row>
    <row r="29" ht="15" customHeight="1" s="104">
      <c r="A29" s="149">
        <f>IF(C29&lt;&gt;"","ملف-"&amp;TEXT(ROW()-3,"000"),"")</f>
        <v/>
      </c>
      <c r="B29" s="150">
        <f>IF(C29&lt;&gt;"",TODAY(),"")</f>
        <v/>
      </c>
      <c r="C29" s="151" t="n"/>
      <c r="D29" s="152" t="n"/>
      <c r="E29" s="152" t="n"/>
      <c r="F29" s="152" t="n"/>
      <c r="G29" s="151" t="n"/>
      <c r="H29" s="152" t="n"/>
      <c r="I29" s="152" t="n"/>
      <c r="J29" s="152" t="n"/>
      <c r="K29" s="152" t="n"/>
      <c r="L29" s="152" t="n"/>
      <c r="M29" s="152" t="n"/>
      <c r="N29" s="152" t="n"/>
      <c r="O29" s="152" t="n"/>
      <c r="P29" s="152" t="n"/>
      <c r="Q29" s="152" t="n"/>
      <c r="R29" s="153">
        <f>IF(C29&lt;&gt;"","جديد","")</f>
        <v/>
      </c>
    </row>
    <row r="30" ht="15" customHeight="1" s="104">
      <c r="A30" s="149">
        <f>IF(C30&lt;&gt;"","ملف-"&amp;TEXT(ROW()-3,"000"),"")</f>
        <v/>
      </c>
      <c r="B30" s="150">
        <f>IF(C30&lt;&gt;"",TODAY(),"")</f>
        <v/>
      </c>
      <c r="C30" s="151" t="n"/>
      <c r="D30" s="152" t="n"/>
      <c r="E30" s="152" t="n"/>
      <c r="F30" s="152" t="n"/>
      <c r="G30" s="151" t="n"/>
      <c r="H30" s="152" t="n"/>
      <c r="I30" s="152" t="n"/>
      <c r="J30" s="152" t="n"/>
      <c r="K30" s="152" t="n"/>
      <c r="L30" s="152" t="n"/>
      <c r="M30" s="152" t="n"/>
      <c r="N30" s="152" t="n"/>
      <c r="O30" s="152" t="n"/>
      <c r="P30" s="152" t="n"/>
      <c r="Q30" s="152" t="n"/>
      <c r="R30" s="153">
        <f>IF(C30&lt;&gt;"","جديد","")</f>
        <v/>
      </c>
    </row>
    <row r="31" ht="15" customHeight="1" s="104">
      <c r="A31" s="149">
        <f>IF(C31&lt;&gt;"","ملف-"&amp;TEXT(ROW()-3,"000"),"")</f>
        <v/>
      </c>
      <c r="B31" s="150">
        <f>IF(C31&lt;&gt;"",TODAY(),"")</f>
        <v/>
      </c>
      <c r="C31" s="151" t="n"/>
      <c r="D31" s="152" t="n"/>
      <c r="E31" s="152" t="n"/>
      <c r="F31" s="152" t="n"/>
      <c r="G31" s="151" t="n"/>
      <c r="H31" s="152" t="n"/>
      <c r="I31" s="152" t="n"/>
      <c r="J31" s="152" t="n"/>
      <c r="K31" s="152" t="n"/>
      <c r="L31" s="152" t="n"/>
      <c r="M31" s="152" t="n"/>
      <c r="N31" s="152" t="n"/>
      <c r="O31" s="152" t="n"/>
      <c r="P31" s="152" t="n"/>
      <c r="Q31" s="152" t="n"/>
      <c r="R31" s="153">
        <f>IF(C31&lt;&gt;"","جديد","")</f>
        <v/>
      </c>
    </row>
    <row r="32" ht="15" customHeight="1" s="104">
      <c r="A32" s="149">
        <f>IF(C32&lt;&gt;"","ملف-"&amp;TEXT(ROW()-3,"000"),"")</f>
        <v/>
      </c>
      <c r="B32" s="150">
        <f>IF(C32&lt;&gt;"",TODAY(),"")</f>
        <v/>
      </c>
      <c r="C32" s="151" t="n"/>
      <c r="D32" s="152" t="n"/>
      <c r="E32" s="152" t="n"/>
      <c r="F32" s="152" t="n"/>
      <c r="G32" s="151" t="n"/>
      <c r="H32" s="152" t="n"/>
      <c r="I32" s="152" t="n"/>
      <c r="J32" s="152" t="n"/>
      <c r="K32" s="152" t="n"/>
      <c r="L32" s="152" t="n"/>
      <c r="M32" s="152" t="n"/>
      <c r="N32" s="152" t="n"/>
      <c r="O32" s="152" t="n"/>
      <c r="P32" s="152" t="n"/>
      <c r="Q32" s="152" t="n"/>
      <c r="R32" s="153">
        <f>IF(C32&lt;&gt;"","جديد","")</f>
        <v/>
      </c>
    </row>
    <row r="33" ht="15" customHeight="1" s="104">
      <c r="A33" s="149">
        <f>IF(C33&lt;&gt;"","ملف-"&amp;TEXT(ROW()-3,"000"),"")</f>
        <v/>
      </c>
      <c r="B33" s="150">
        <f>IF(C33&lt;&gt;"",TODAY(),"")</f>
        <v/>
      </c>
      <c r="C33" s="151" t="n"/>
      <c r="D33" s="152" t="n"/>
      <c r="E33" s="152" t="n"/>
      <c r="F33" s="152" t="n"/>
      <c r="G33" s="151" t="n"/>
      <c r="H33" s="152" t="n"/>
      <c r="I33" s="152" t="n"/>
      <c r="J33" s="152" t="n"/>
      <c r="K33" s="152" t="n"/>
      <c r="L33" s="152" t="n"/>
      <c r="M33" s="152" t="n"/>
      <c r="N33" s="152" t="n"/>
      <c r="O33" s="152" t="n"/>
      <c r="P33" s="152" t="n"/>
      <c r="Q33" s="152" t="n"/>
      <c r="R33" s="153">
        <f>IF(C33&lt;&gt;"","جديد","")</f>
        <v/>
      </c>
    </row>
    <row r="34" ht="15" customHeight="1" s="104">
      <c r="A34" s="149">
        <f>IF(C34&lt;&gt;"","ملف-"&amp;TEXT(ROW()-3,"000"),"")</f>
        <v/>
      </c>
      <c r="B34" s="150">
        <f>IF(C34&lt;&gt;"",TODAY(),"")</f>
        <v/>
      </c>
      <c r="C34" s="151" t="n"/>
      <c r="D34" s="152" t="n"/>
      <c r="E34" s="152" t="n"/>
      <c r="F34" s="152" t="n"/>
      <c r="G34" s="151" t="n"/>
      <c r="H34" s="152" t="n"/>
      <c r="I34" s="152" t="n"/>
      <c r="J34" s="152" t="n"/>
      <c r="K34" s="152" t="n"/>
      <c r="L34" s="152" t="n"/>
      <c r="M34" s="152" t="n"/>
      <c r="N34" s="152" t="n"/>
      <c r="O34" s="152" t="n"/>
      <c r="P34" s="152" t="n"/>
      <c r="Q34" s="152" t="n"/>
      <c r="R34" s="153">
        <f>IF(C34&lt;&gt;"","جديد","")</f>
        <v/>
      </c>
    </row>
    <row r="35" ht="15" customHeight="1" s="104">
      <c r="A35" s="149">
        <f>IF(C35&lt;&gt;"","ملف-"&amp;TEXT(ROW()-3,"000"),"")</f>
        <v/>
      </c>
      <c r="B35" s="150">
        <f>IF(C35&lt;&gt;"",TODAY(),"")</f>
        <v/>
      </c>
      <c r="C35" s="151" t="n"/>
      <c r="D35" s="152" t="n"/>
      <c r="E35" s="152" t="n"/>
      <c r="F35" s="152" t="n"/>
      <c r="G35" s="151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3">
        <f>IF(C35&lt;&gt;"","جديد","")</f>
        <v/>
      </c>
    </row>
    <row r="36" ht="15" customHeight="1" s="104">
      <c r="A36" s="149">
        <f>IF(C36&lt;&gt;"","ملف-"&amp;TEXT(ROW()-3,"000"),"")</f>
        <v/>
      </c>
      <c r="B36" s="150">
        <f>IF(C36&lt;&gt;"",TODAY(),"")</f>
        <v/>
      </c>
      <c r="C36" s="151" t="n"/>
      <c r="D36" s="152" t="n"/>
      <c r="E36" s="152" t="n"/>
      <c r="F36" s="152" t="n"/>
      <c r="G36" s="151" t="n"/>
      <c r="H36" s="152" t="n"/>
      <c r="I36" s="152" t="n"/>
      <c r="J36" s="152" t="n"/>
      <c r="K36" s="152" t="n"/>
      <c r="L36" s="152" t="n"/>
      <c r="M36" s="152" t="n"/>
      <c r="N36" s="152" t="n"/>
      <c r="O36" s="152" t="n"/>
      <c r="P36" s="152" t="n"/>
      <c r="Q36" s="152" t="n"/>
      <c r="R36" s="153">
        <f>IF(C36&lt;&gt;"","جديد","")</f>
        <v/>
      </c>
    </row>
    <row r="37" ht="15" customHeight="1" s="104">
      <c r="A37" s="149">
        <f>IF(C37&lt;&gt;"","ملف-"&amp;TEXT(ROW()-3,"000"),"")</f>
        <v/>
      </c>
      <c r="B37" s="150">
        <f>IF(C37&lt;&gt;"",TODAY(),"")</f>
        <v/>
      </c>
      <c r="C37" s="151" t="n"/>
      <c r="D37" s="152" t="n"/>
      <c r="E37" s="152" t="n"/>
      <c r="F37" s="152" t="n"/>
      <c r="G37" s="151" t="n"/>
      <c r="H37" s="152" t="n"/>
      <c r="I37" s="152" t="n"/>
      <c r="J37" s="152" t="n"/>
      <c r="K37" s="152" t="n"/>
      <c r="L37" s="152" t="n"/>
      <c r="M37" s="152" t="n"/>
      <c r="N37" s="152" t="n"/>
      <c r="O37" s="152" t="n"/>
      <c r="P37" s="152" t="n"/>
      <c r="Q37" s="152" t="n"/>
      <c r="R37" s="153">
        <f>IF(C37&lt;&gt;"","جديد","")</f>
        <v/>
      </c>
    </row>
    <row r="38" ht="15" customHeight="1" s="104">
      <c r="A38" s="149">
        <f>IF(C38&lt;&gt;"","ملف-"&amp;TEXT(ROW()-3,"000"),"")</f>
        <v/>
      </c>
      <c r="B38" s="150">
        <f>IF(C38&lt;&gt;"",TODAY(),"")</f>
        <v/>
      </c>
      <c r="C38" s="151" t="n"/>
      <c r="D38" s="152" t="n"/>
      <c r="E38" s="152" t="n"/>
      <c r="F38" s="152" t="n"/>
      <c r="G38" s="151" t="n"/>
      <c r="H38" s="152" t="n"/>
      <c r="I38" s="152" t="n"/>
      <c r="J38" s="152" t="n"/>
      <c r="K38" s="152" t="n"/>
      <c r="L38" s="152" t="n"/>
      <c r="M38" s="152" t="n"/>
      <c r="N38" s="152" t="n"/>
      <c r="O38" s="152" t="n"/>
      <c r="P38" s="152" t="n"/>
      <c r="Q38" s="152" t="n"/>
      <c r="R38" s="153">
        <f>IF(C38&lt;&gt;"","جديد","")</f>
        <v/>
      </c>
    </row>
    <row r="39" ht="15" customHeight="1" s="104">
      <c r="A39" s="149">
        <f>IF(C39&lt;&gt;"","ملف-"&amp;TEXT(ROW()-3,"000"),"")</f>
        <v/>
      </c>
      <c r="B39" s="150">
        <f>IF(C39&lt;&gt;"",TODAY(),"")</f>
        <v/>
      </c>
      <c r="C39" s="151" t="n"/>
      <c r="D39" s="152" t="n"/>
      <c r="E39" s="152" t="n"/>
      <c r="F39" s="152" t="n"/>
      <c r="G39" s="151" t="n"/>
      <c r="H39" s="152" t="n"/>
      <c r="I39" s="152" t="n"/>
      <c r="J39" s="152" t="n"/>
      <c r="K39" s="152" t="n"/>
      <c r="L39" s="152" t="n"/>
      <c r="M39" s="152" t="n"/>
      <c r="N39" s="152" t="n"/>
      <c r="O39" s="152" t="n"/>
      <c r="P39" s="152" t="n"/>
      <c r="Q39" s="152" t="n"/>
      <c r="R39" s="153">
        <f>IF(C39&lt;&gt;"","جديد","")</f>
        <v/>
      </c>
    </row>
    <row r="40" ht="15" customHeight="1" s="104">
      <c r="A40" s="149">
        <f>IF(C40&lt;&gt;"","ملف-"&amp;TEXT(ROW()-3,"000"),"")</f>
        <v/>
      </c>
      <c r="B40" s="150">
        <f>IF(C40&lt;&gt;"",TODAY(),"")</f>
        <v/>
      </c>
      <c r="C40" s="151" t="n"/>
      <c r="D40" s="152" t="n"/>
      <c r="E40" s="152" t="n"/>
      <c r="F40" s="152" t="n"/>
      <c r="G40" s="151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3">
        <f>IF(C40&lt;&gt;"","جديد","")</f>
        <v/>
      </c>
    </row>
    <row r="41" ht="15" customHeight="1" s="104">
      <c r="A41" s="149">
        <f>IF(C41&lt;&gt;"","ملف-"&amp;TEXT(ROW()-3,"000"),"")</f>
        <v/>
      </c>
      <c r="B41" s="150">
        <f>IF(C41&lt;&gt;"",TODAY(),"")</f>
        <v/>
      </c>
      <c r="C41" s="151" t="n"/>
      <c r="D41" s="152" t="n"/>
      <c r="E41" s="152" t="n"/>
      <c r="F41" s="152" t="n"/>
      <c r="G41" s="151" t="n"/>
      <c r="H41" s="152" t="n"/>
      <c r="I41" s="152" t="n"/>
      <c r="J41" s="152" t="n"/>
      <c r="K41" s="152" t="n"/>
      <c r="L41" s="152" t="n"/>
      <c r="M41" s="152" t="n"/>
      <c r="N41" s="152" t="n"/>
      <c r="O41" s="152" t="n"/>
      <c r="P41" s="152" t="n"/>
      <c r="Q41" s="152" t="n"/>
      <c r="R41" s="153">
        <f>IF(C41&lt;&gt;"","جديد","")</f>
        <v/>
      </c>
    </row>
    <row r="42" ht="15" customHeight="1" s="104">
      <c r="A42" s="149">
        <f>IF(C42&lt;&gt;"","ملف-"&amp;TEXT(ROW()-3,"000"),"")</f>
        <v/>
      </c>
      <c r="B42" s="150">
        <f>IF(C42&lt;&gt;"",TODAY(),"")</f>
        <v/>
      </c>
      <c r="C42" s="151" t="n"/>
      <c r="D42" s="152" t="n"/>
      <c r="E42" s="152" t="n"/>
      <c r="F42" s="152" t="n"/>
      <c r="G42" s="151" t="n"/>
      <c r="H42" s="152" t="n"/>
      <c r="I42" s="152" t="n"/>
      <c r="J42" s="152" t="n"/>
      <c r="K42" s="152" t="n"/>
      <c r="L42" s="152" t="n"/>
      <c r="M42" s="152" t="n"/>
      <c r="N42" s="152" t="n"/>
      <c r="O42" s="152" t="n"/>
      <c r="P42" s="152" t="n"/>
      <c r="Q42" s="152" t="n"/>
      <c r="R42" s="153">
        <f>IF(C42&lt;&gt;"","جديد","")</f>
        <v/>
      </c>
    </row>
    <row r="43" ht="15" customHeight="1" s="104">
      <c r="A43" s="149">
        <f>IF(C43&lt;&gt;"","ملف-"&amp;TEXT(ROW()-3,"000"),"")</f>
        <v/>
      </c>
      <c r="B43" s="150">
        <f>IF(C43&lt;&gt;"",TODAY(),"")</f>
        <v/>
      </c>
      <c r="C43" s="151" t="n"/>
      <c r="D43" s="152" t="n"/>
      <c r="E43" s="152" t="n"/>
      <c r="F43" s="152" t="n"/>
      <c r="G43" s="151" t="n"/>
      <c r="H43" s="152" t="n"/>
      <c r="I43" s="152" t="n"/>
      <c r="J43" s="152" t="n"/>
      <c r="K43" s="152" t="n"/>
      <c r="L43" s="152" t="n"/>
      <c r="M43" s="152" t="n"/>
      <c r="N43" s="152" t="n"/>
      <c r="O43" s="152" t="n"/>
      <c r="P43" s="152" t="n"/>
      <c r="Q43" s="152" t="n"/>
      <c r="R43" s="153">
        <f>IF(C43&lt;&gt;"","جديد","")</f>
        <v/>
      </c>
    </row>
    <row r="44" ht="15" customHeight="1" s="104">
      <c r="A44" s="149">
        <f>IF(C44&lt;&gt;"","ملف-"&amp;TEXT(ROW()-3,"000"),"")</f>
        <v/>
      </c>
      <c r="B44" s="150">
        <f>IF(C44&lt;&gt;"",TODAY(),"")</f>
        <v/>
      </c>
      <c r="C44" s="151" t="n"/>
      <c r="D44" s="152" t="n"/>
      <c r="E44" s="152" t="n"/>
      <c r="F44" s="152" t="n"/>
      <c r="G44" s="151" t="n"/>
      <c r="H44" s="152" t="n"/>
      <c r="I44" s="152" t="n"/>
      <c r="J44" s="152" t="n"/>
      <c r="K44" s="152" t="n"/>
      <c r="L44" s="152" t="n"/>
      <c r="M44" s="152" t="n"/>
      <c r="N44" s="152" t="n"/>
      <c r="O44" s="152" t="n"/>
      <c r="P44" s="152" t="n"/>
      <c r="Q44" s="152" t="n"/>
      <c r="R44" s="153">
        <f>IF(C44&lt;&gt;"","جديد","")</f>
        <v/>
      </c>
    </row>
    <row r="45" ht="15" customHeight="1" s="104">
      <c r="A45" s="149">
        <f>IF(C45&lt;&gt;"","ملف-"&amp;TEXT(ROW()-3,"000"),"")</f>
        <v/>
      </c>
      <c r="B45" s="150">
        <f>IF(C45&lt;&gt;"",TODAY(),"")</f>
        <v/>
      </c>
      <c r="C45" s="151" t="n"/>
      <c r="D45" s="152" t="n"/>
      <c r="E45" s="152" t="n"/>
      <c r="F45" s="152" t="n"/>
      <c r="G45" s="151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3">
        <f>IF(C45&lt;&gt;"","جديد","")</f>
        <v/>
      </c>
    </row>
    <row r="46" ht="15" customHeight="1" s="104">
      <c r="A46" s="149">
        <f>IF(C46&lt;&gt;"","ملف-"&amp;TEXT(ROW()-3,"000"),"")</f>
        <v/>
      </c>
      <c r="B46" s="150">
        <f>IF(C46&lt;&gt;"",TODAY(),"")</f>
        <v/>
      </c>
      <c r="C46" s="151" t="n"/>
      <c r="D46" s="152" t="n"/>
      <c r="E46" s="152" t="n"/>
      <c r="F46" s="152" t="n"/>
      <c r="G46" s="151" t="n"/>
      <c r="H46" s="152" t="n"/>
      <c r="I46" s="152" t="n"/>
      <c r="J46" s="152" t="n"/>
      <c r="K46" s="152" t="n"/>
      <c r="L46" s="152" t="n"/>
      <c r="M46" s="152" t="n"/>
      <c r="N46" s="152" t="n"/>
      <c r="O46" s="152" t="n"/>
      <c r="P46" s="152" t="n"/>
      <c r="Q46" s="152" t="n"/>
      <c r="R46" s="153">
        <f>IF(C46&lt;&gt;"","جديد","")</f>
        <v/>
      </c>
    </row>
    <row r="47" ht="15" customHeight="1" s="104">
      <c r="A47" s="149">
        <f>IF(C47&lt;&gt;"","ملف-"&amp;TEXT(ROW()-3,"000"),"")</f>
        <v/>
      </c>
      <c r="B47" s="150">
        <f>IF(C47&lt;&gt;"",TODAY(),"")</f>
        <v/>
      </c>
      <c r="C47" s="151" t="n"/>
      <c r="D47" s="152" t="n"/>
      <c r="E47" s="152" t="n"/>
      <c r="F47" s="152" t="n"/>
      <c r="G47" s="151" t="n"/>
      <c r="H47" s="152" t="n"/>
      <c r="I47" s="152" t="n"/>
      <c r="J47" s="152" t="n"/>
      <c r="K47" s="152" t="n"/>
      <c r="L47" s="152" t="n"/>
      <c r="M47" s="152" t="n"/>
      <c r="N47" s="152" t="n"/>
      <c r="O47" s="152" t="n"/>
      <c r="P47" s="152" t="n"/>
      <c r="Q47" s="152" t="n"/>
      <c r="R47" s="153">
        <f>IF(C47&lt;&gt;"","جديد","")</f>
        <v/>
      </c>
    </row>
    <row r="48" ht="15" customHeight="1" s="104">
      <c r="A48" s="149">
        <f>IF(C48&lt;&gt;"","ملف-"&amp;TEXT(ROW()-3,"000"),"")</f>
        <v/>
      </c>
      <c r="B48" s="150">
        <f>IF(C48&lt;&gt;"",TODAY(),"")</f>
        <v/>
      </c>
      <c r="C48" s="151" t="n"/>
      <c r="D48" s="152" t="n"/>
      <c r="E48" s="152" t="n"/>
      <c r="F48" s="152" t="n"/>
      <c r="G48" s="151" t="n"/>
      <c r="H48" s="152" t="n"/>
      <c r="I48" s="152" t="n"/>
      <c r="J48" s="152" t="n"/>
      <c r="K48" s="152" t="n"/>
      <c r="L48" s="152" t="n"/>
      <c r="M48" s="152" t="n"/>
      <c r="N48" s="152" t="n"/>
      <c r="O48" s="152" t="n"/>
      <c r="P48" s="152" t="n"/>
      <c r="Q48" s="152" t="n"/>
      <c r="R48" s="153">
        <f>IF(C48&lt;&gt;"","جديد","")</f>
        <v/>
      </c>
    </row>
    <row r="49" ht="15" customHeight="1" s="104">
      <c r="A49" s="149">
        <f>IF(C49&lt;&gt;"","ملف-"&amp;TEXT(ROW()-3,"000"),"")</f>
        <v/>
      </c>
      <c r="B49" s="150">
        <f>IF(C49&lt;&gt;"",TODAY(),"")</f>
        <v/>
      </c>
      <c r="C49" s="151" t="n"/>
      <c r="D49" s="152" t="n"/>
      <c r="E49" s="152" t="n"/>
      <c r="F49" s="152" t="n"/>
      <c r="G49" s="151" t="n"/>
      <c r="H49" s="152" t="n"/>
      <c r="I49" s="152" t="n"/>
      <c r="J49" s="152" t="n"/>
      <c r="K49" s="152" t="n"/>
      <c r="L49" s="152" t="n"/>
      <c r="M49" s="152" t="n"/>
      <c r="N49" s="152" t="n"/>
      <c r="O49" s="152" t="n"/>
      <c r="P49" s="152" t="n"/>
      <c r="Q49" s="152" t="n"/>
      <c r="R49" s="153">
        <f>IF(C49&lt;&gt;"","جديد","")</f>
        <v/>
      </c>
    </row>
    <row r="50" ht="15" customHeight="1" s="104">
      <c r="A50" s="149">
        <f>IF(C50&lt;&gt;"","ملف-"&amp;TEXT(ROW()-3,"000"),"")</f>
        <v/>
      </c>
      <c r="B50" s="150">
        <f>IF(C50&lt;&gt;"",TODAY(),"")</f>
        <v/>
      </c>
      <c r="C50" s="151" t="n"/>
      <c r="D50" s="152" t="n"/>
      <c r="E50" s="152" t="n"/>
      <c r="F50" s="152" t="n"/>
      <c r="G50" s="151" t="n"/>
      <c r="H50" s="152" t="n"/>
      <c r="I50" s="152" t="n"/>
      <c r="J50" s="152" t="n"/>
      <c r="K50" s="152" t="n"/>
      <c r="L50" s="152" t="n"/>
      <c r="M50" s="152" t="n"/>
      <c r="N50" s="152" t="n"/>
      <c r="O50" s="152" t="n"/>
      <c r="P50" s="152" t="n"/>
      <c r="Q50" s="152" t="n"/>
      <c r="R50" s="153">
        <f>IF(C50&lt;&gt;"","جديد","")</f>
        <v/>
      </c>
    </row>
    <row r="51" ht="15" customHeight="1" s="104">
      <c r="A51" s="149">
        <f>IF(C51&lt;&gt;"","ملف-"&amp;TEXT(ROW()-3,"000"),"")</f>
        <v/>
      </c>
      <c r="B51" s="150">
        <f>IF(C51&lt;&gt;"",TODAY(),"")</f>
        <v/>
      </c>
      <c r="C51" s="151" t="n"/>
      <c r="D51" s="152" t="n"/>
      <c r="E51" s="152" t="n"/>
      <c r="F51" s="152" t="n"/>
      <c r="G51" s="151" t="n"/>
      <c r="H51" s="152" t="n"/>
      <c r="I51" s="152" t="n"/>
      <c r="J51" s="152" t="n"/>
      <c r="K51" s="152" t="n"/>
      <c r="L51" s="152" t="n"/>
      <c r="M51" s="152" t="n"/>
      <c r="N51" s="152" t="n"/>
      <c r="O51" s="152" t="n"/>
      <c r="P51" s="152" t="n"/>
      <c r="Q51" s="152" t="n"/>
      <c r="R51" s="153">
        <f>IF(C51&lt;&gt;"","جديد","")</f>
        <v/>
      </c>
    </row>
    <row r="52" ht="15" customHeight="1" s="104">
      <c r="A52" s="149">
        <f>IF(C52&lt;&gt;"","ملف-"&amp;TEXT(ROW()-3,"000"),"")</f>
        <v/>
      </c>
      <c r="B52" s="150">
        <f>IF(C52&lt;&gt;"",TODAY(),"")</f>
        <v/>
      </c>
      <c r="C52" s="151" t="n"/>
      <c r="D52" s="152" t="n"/>
      <c r="E52" s="152" t="n"/>
      <c r="F52" s="152" t="n"/>
      <c r="G52" s="151" t="n"/>
      <c r="H52" s="152" t="n"/>
      <c r="I52" s="152" t="n"/>
      <c r="J52" s="152" t="n"/>
      <c r="K52" s="152" t="n"/>
      <c r="L52" s="152" t="n"/>
      <c r="M52" s="152" t="n"/>
      <c r="N52" s="152" t="n"/>
      <c r="O52" s="152" t="n"/>
      <c r="P52" s="152" t="n"/>
      <c r="Q52" s="152" t="n"/>
      <c r="R52" s="153">
        <f>IF(C52&lt;&gt;"","جديد","")</f>
        <v/>
      </c>
    </row>
    <row r="53" ht="15" customHeight="1" s="104">
      <c r="A53" s="149">
        <f>IF(C53&lt;&gt;"","ملف-"&amp;TEXT(ROW()-3,"000"),"")</f>
        <v/>
      </c>
      <c r="B53" s="150">
        <f>IF(C53&lt;&gt;"",TODAY(),"")</f>
        <v/>
      </c>
      <c r="C53" s="151" t="n"/>
      <c r="D53" s="152" t="n"/>
      <c r="E53" s="152" t="n"/>
      <c r="F53" s="152" t="n"/>
      <c r="G53" s="151" t="n"/>
      <c r="H53" s="152" t="n"/>
      <c r="I53" s="152" t="n"/>
      <c r="J53" s="152" t="n"/>
      <c r="K53" s="152" t="n"/>
      <c r="L53" s="152" t="n"/>
      <c r="M53" s="152" t="n"/>
      <c r="N53" s="152" t="n"/>
      <c r="O53" s="152" t="n"/>
      <c r="P53" s="152" t="n"/>
      <c r="Q53" s="152" t="n"/>
      <c r="R53" s="153">
        <f>IF(C53&lt;&gt;"","جديد","")</f>
        <v/>
      </c>
    </row>
    <row r="54" ht="19.5" customHeight="1" s="104">
      <c r="A54" s="154" t="inlineStr">
        <is>
          <t>🟨 الخلايا الصفراء = حقول إدخال  |  🔒 الخلايا الرمادية = محسوبة تلقائياً  |  ⭐ الحقول 15-17 تؤثر على سياسة الرفض المباشر</t>
        </is>
      </c>
    </row>
  </sheetData>
  <mergeCells count="3">
    <mergeCell ref="A2:R2"/>
    <mergeCell ref="A1:R1"/>
    <mergeCell ref="A54:R54"/>
  </mergeCells>
  <dataValidations count="3">
    <dataValidation sqref="O4:Q53" showDropDown="0" showInputMessage="0" showErrorMessage="0" allowBlank="1" type="list" errorStyle="stop" operator="between">
      <formula1>"نعم,لا"</formula1>
      <formula2>0</formula2>
    </dataValidation>
    <dataValidation sqref="H4:H53" showDropDown="0" showInputMessage="0" showErrorMessage="0" allowBlank="1" type="list" errorStyle="stop" operator="between">
      <formula1>"حكومي,شبه حكومي,خاص كبير,خاص صغير,متقاعد"</formula1>
      <formula2>0</formula2>
    </dataValidation>
    <dataValidation sqref="R4:R53" showDropDown="0" showInputMessage="0" showErrorMessage="0" allowBlank="1" type="list" errorStyle="stop" operator="between">
      <formula1>"جديد,تحت التحليل,معتمد من محلل الائتمان,معتمد من مدير العمليات,تحت المراجعة المالية,معتمد مالياً,مكتمل,مرفوض"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39C12"/>
    <outlinePr summaryBelow="1" summaryRight="1"/>
    <pageSetUpPr fitToPage="0"/>
  </sheetPr>
  <dimension ref="A1:N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28" customWidth="1" style="103" min="2" max="2"/>
    <col width="10" customWidth="1" style="103" min="3" max="3"/>
    <col width="16" customWidth="1" style="103" min="4" max="4"/>
    <col width="10" customWidth="1" style="103" min="5" max="5"/>
    <col width="16" customWidth="1" style="103" min="6" max="6"/>
    <col width="10" customWidth="1" style="103" min="7" max="7"/>
    <col width="14" customWidth="1" style="103" min="8" max="8"/>
    <col width="10" customWidth="1" style="103" min="9" max="9"/>
    <col width="16" customWidth="1" style="103" min="10" max="12"/>
    <col width="14" customWidth="1" style="103" min="13" max="14"/>
  </cols>
  <sheetData>
    <row r="1" ht="45" customHeight="1" s="104">
      <c r="A1" s="155" t="inlineStr">
        <is>
          <t>💳  شاشة الالتزامات القائمة - Existing Liabilities</t>
        </is>
      </c>
    </row>
    <row r="2" ht="18" customHeight="1" s="104">
      <c r="A2" s="148" t="inlineStr">
        <is>
          <t>⚠️  أدخل البيانات في الخلايا الصفراء | الخلايا الزرقاء محسوبة تلقائياً من شاشة بيانات العميل</t>
        </is>
      </c>
    </row>
    <row r="3" ht="37.5" customHeight="1" s="104">
      <c r="A3" s="137" t="inlineStr">
        <is>
          <t>رقم الملف</t>
        </is>
      </c>
      <c r="B3" s="137" t="inlineStr">
        <is>
          <t>اسم العميل</t>
        </is>
      </c>
      <c r="C3" s="137" t="inlineStr">
        <is>
          <t>ع. القروض
الشخصية</t>
        </is>
      </c>
      <c r="D3" s="137" t="inlineStr">
        <is>
          <t>إجمالي القروض
الشخصية</t>
        </is>
      </c>
      <c r="E3" s="137" t="inlineStr">
        <is>
          <t>ع. التمويلات
العقارية</t>
        </is>
      </c>
      <c r="F3" s="137" t="inlineStr">
        <is>
          <t>إجمالي التمويل
العقاري</t>
        </is>
      </c>
      <c r="G3" s="137" t="inlineStr">
        <is>
          <t>ع. البطاقات
الائتمانية</t>
        </is>
      </c>
      <c r="H3" s="137" t="inlineStr">
        <is>
          <t>إجمالي
البطاقات</t>
        </is>
      </c>
      <c r="I3" s="137" t="inlineStr">
        <is>
          <t>ع. شركات
التمويل</t>
        </is>
      </c>
      <c r="J3" s="137" t="inlineStr">
        <is>
          <t>إجمالي شركات
التمويل</t>
        </is>
      </c>
      <c r="K3" s="138" t="inlineStr">
        <is>
          <t>إجمالي
الالتزامات</t>
        </is>
      </c>
      <c r="L3" s="138" t="inlineStr">
        <is>
          <t>إجمالي الأقساط
الشهرية</t>
        </is>
      </c>
      <c r="M3" s="138" t="inlineStr">
        <is>
          <t>صافي الراتب
(مرتبط)</t>
        </is>
      </c>
      <c r="N3" s="138" t="inlineStr">
        <is>
          <t>نسبة الاستقطاع
% DTI</t>
        </is>
      </c>
    </row>
    <row r="4" ht="15" customHeight="1" s="104">
      <c r="A4" s="149">
        <f>'1. بيانات العميل'!A4</f>
        <v/>
      </c>
      <c r="B4" s="156">
        <f>'1. بيانات العميل'!C4</f>
        <v/>
      </c>
      <c r="C4" s="157" t="n">
        <v>1</v>
      </c>
      <c r="D4" s="157" t="n">
        <v>80000</v>
      </c>
      <c r="E4" s="157" t="n">
        <v>0</v>
      </c>
      <c r="F4" s="157" t="n">
        <v>0</v>
      </c>
      <c r="G4" s="157" t="n">
        <v>1</v>
      </c>
      <c r="H4" s="157" t="n">
        <v>20000</v>
      </c>
      <c r="I4" s="157" t="n">
        <v>0</v>
      </c>
      <c r="J4" s="157" t="n">
        <v>0</v>
      </c>
      <c r="K4" s="158">
        <f>IFERROR(D4+F4+H4+J4,0)</f>
        <v/>
      </c>
      <c r="L4" s="157" t="n">
        <v>3550</v>
      </c>
      <c r="M4" s="159">
        <f>'1. بيانات العميل'!K4</f>
        <v/>
      </c>
      <c r="N4" s="160">
        <f>IFERROR(IF(M4&gt;0,L4/M4,0),0)</f>
        <v/>
      </c>
    </row>
    <row r="5" ht="15" customHeight="1" s="104">
      <c r="A5" s="149">
        <f>'1. بيانات العميل'!A5</f>
        <v/>
      </c>
      <c r="B5" s="156">
        <f>'1. بيانات العميل'!C5</f>
        <v/>
      </c>
      <c r="C5" s="157" t="n">
        <v>2</v>
      </c>
      <c r="D5" s="157" t="n">
        <v>100000</v>
      </c>
      <c r="E5" s="157" t="n">
        <v>0</v>
      </c>
      <c r="F5" s="157" t="n">
        <v>0</v>
      </c>
      <c r="G5" s="157" t="n">
        <v>2</v>
      </c>
      <c r="H5" s="157" t="n">
        <v>20000</v>
      </c>
      <c r="I5" s="157" t="n">
        <v>0</v>
      </c>
      <c r="J5" s="157" t="n">
        <v>0</v>
      </c>
      <c r="K5" s="158">
        <f>IFERROR(D5+F5+H5+J5,0)</f>
        <v/>
      </c>
      <c r="L5" s="157" t="n">
        <v>5175</v>
      </c>
      <c r="M5" s="159">
        <f>'1. بيانات العميل'!K5</f>
        <v/>
      </c>
      <c r="N5" s="160">
        <f>IFERROR(IF(M5&gt;0,L5/M5,0),0)</f>
        <v/>
      </c>
    </row>
    <row r="6" ht="15" customHeight="1" s="104">
      <c r="A6" s="149">
        <f>'1. بيانات العميل'!A6</f>
        <v/>
      </c>
      <c r="B6" s="156">
        <f>'1. بيانات العميل'!C6</f>
        <v/>
      </c>
      <c r="C6" s="157" t="n">
        <v>1</v>
      </c>
      <c r="D6" s="157" t="n">
        <v>90000</v>
      </c>
      <c r="E6" s="157" t="n">
        <v>0</v>
      </c>
      <c r="F6" s="157" t="n">
        <v>0</v>
      </c>
      <c r="G6" s="157" t="n">
        <v>1</v>
      </c>
      <c r="H6" s="157" t="n">
        <v>20000</v>
      </c>
      <c r="I6" s="157" t="n">
        <v>0</v>
      </c>
      <c r="J6" s="157" t="n">
        <v>0</v>
      </c>
      <c r="K6" s="158">
        <f>IFERROR(D6+F6+H6+J6,0)</f>
        <v/>
      </c>
      <c r="L6" s="157" t="n">
        <v>10660</v>
      </c>
      <c r="M6" s="159">
        <f>'1. بيانات العميل'!K6</f>
        <v/>
      </c>
      <c r="N6" s="160">
        <f>IFERROR(IF(M6&gt;0,L6/M6,0),0)</f>
        <v/>
      </c>
    </row>
    <row r="7" ht="15" customHeight="1" s="104">
      <c r="A7" s="149">
        <f>'1. بيانات العميل'!A7</f>
        <v/>
      </c>
      <c r="B7" s="156">
        <f>'1. بيانات العميل'!C7</f>
        <v/>
      </c>
      <c r="C7" s="157" t="n">
        <v>1</v>
      </c>
      <c r="D7" s="157" t="n">
        <v>20000</v>
      </c>
      <c r="E7" s="157" t="n">
        <v>0</v>
      </c>
      <c r="F7" s="157" t="n">
        <v>0</v>
      </c>
      <c r="G7" s="157" t="n">
        <v>1</v>
      </c>
      <c r="H7" s="157" t="n">
        <v>120000</v>
      </c>
      <c r="I7" s="157" t="n">
        <v>0</v>
      </c>
      <c r="J7" s="157" t="n">
        <v>0</v>
      </c>
      <c r="K7" s="158">
        <f>IFERROR(D7+F7+H7+J7,0)</f>
        <v/>
      </c>
      <c r="L7" s="157" t="n">
        <v>4875</v>
      </c>
      <c r="M7" s="159">
        <f>'1. بيانات العميل'!K7</f>
        <v/>
      </c>
      <c r="N7" s="160">
        <f>IFERROR(IF(M7&gt;0,L7/M7,0),0)</f>
        <v/>
      </c>
    </row>
    <row r="8" ht="15" customHeight="1" s="104">
      <c r="A8" s="149">
        <f>'1. بيانات العميل'!A8</f>
        <v/>
      </c>
      <c r="B8" s="156">
        <f>'1. بيانات العميل'!C8</f>
        <v/>
      </c>
      <c r="C8" s="157" t="n">
        <v>1</v>
      </c>
      <c r="D8" s="157" t="n">
        <v>50000</v>
      </c>
      <c r="E8" s="157" t="n">
        <v>0</v>
      </c>
      <c r="F8" s="157" t="n">
        <v>0</v>
      </c>
      <c r="G8" s="157" t="n">
        <v>0</v>
      </c>
      <c r="H8" s="157" t="n">
        <v>0</v>
      </c>
      <c r="I8" s="157" t="n">
        <v>1</v>
      </c>
      <c r="J8" s="157" t="n">
        <v>30000</v>
      </c>
      <c r="K8" s="158">
        <f>IFERROR(D8+F8+H8+J8,0)</f>
        <v/>
      </c>
      <c r="L8" s="157" t="n">
        <v>3570</v>
      </c>
      <c r="M8" s="159">
        <f>'1. بيانات العميل'!K8</f>
        <v/>
      </c>
      <c r="N8" s="160">
        <f>IFERROR(IF(M8&gt;0,L8/M8,0),0)</f>
        <v/>
      </c>
    </row>
    <row r="9" ht="15" customHeight="1" s="104">
      <c r="A9" s="149">
        <f>'1. بيانات العميل'!A9</f>
        <v/>
      </c>
      <c r="B9" s="156">
        <f>'1. بيانات العميل'!C9</f>
        <v/>
      </c>
      <c r="C9" s="157" t="n"/>
      <c r="D9" s="157" t="n"/>
      <c r="E9" s="157" t="n"/>
      <c r="F9" s="157" t="n"/>
      <c r="G9" s="157" t="n"/>
      <c r="H9" s="157" t="n"/>
      <c r="I9" s="157" t="n"/>
      <c r="J9" s="157" t="n"/>
      <c r="K9" s="158">
        <f>IFERROR(D9+F9+H9+J9,0)</f>
        <v/>
      </c>
      <c r="L9" s="157" t="n"/>
      <c r="M9" s="159">
        <f>'1. بيانات العميل'!K9</f>
        <v/>
      </c>
      <c r="N9" s="160">
        <f>IFERROR(IF(M9&gt;0,L9/M9,0),0)</f>
        <v/>
      </c>
    </row>
    <row r="10" ht="15" customHeight="1" s="104">
      <c r="A10" s="149">
        <f>'1. بيانات العميل'!A10</f>
        <v/>
      </c>
      <c r="B10" s="156">
        <f>'1. بيانات العميل'!C10</f>
        <v/>
      </c>
      <c r="C10" s="157" t="n"/>
      <c r="D10" s="157" t="n"/>
      <c r="E10" s="157" t="n"/>
      <c r="F10" s="157" t="n"/>
      <c r="G10" s="157" t="n"/>
      <c r="H10" s="157" t="n"/>
      <c r="I10" s="157" t="n"/>
      <c r="J10" s="157" t="n"/>
      <c r="K10" s="158">
        <f>IFERROR(D10+F10+H10+J10,0)</f>
        <v/>
      </c>
      <c r="L10" s="157" t="n"/>
      <c r="M10" s="159">
        <f>'1. بيانات العميل'!K10</f>
        <v/>
      </c>
      <c r="N10" s="160">
        <f>IFERROR(IF(M10&gt;0,L10/M10,0),0)</f>
        <v/>
      </c>
    </row>
    <row r="11" ht="15" customHeight="1" s="104">
      <c r="A11" s="149">
        <f>'1. بيانات العميل'!A11</f>
        <v/>
      </c>
      <c r="B11" s="156">
        <f>'1. بيانات العميل'!C11</f>
        <v/>
      </c>
      <c r="C11" s="157" t="n"/>
      <c r="D11" s="157" t="n"/>
      <c r="E11" s="157" t="n"/>
      <c r="F11" s="157" t="n"/>
      <c r="G11" s="157" t="n"/>
      <c r="H11" s="157" t="n"/>
      <c r="I11" s="157" t="n"/>
      <c r="J11" s="157" t="n"/>
      <c r="K11" s="158">
        <f>IFERROR(D11+F11+H11+J11,0)</f>
        <v/>
      </c>
      <c r="L11" s="157" t="n"/>
      <c r="M11" s="159">
        <f>'1. بيانات العميل'!K11</f>
        <v/>
      </c>
      <c r="N11" s="160">
        <f>IFERROR(IF(M11&gt;0,L11/M11,0),0)</f>
        <v/>
      </c>
    </row>
    <row r="12" ht="15" customHeight="1" s="104">
      <c r="A12" s="149">
        <f>'1. بيانات العميل'!A12</f>
        <v/>
      </c>
      <c r="B12" s="156">
        <f>'1. بيانات العميل'!C12</f>
        <v/>
      </c>
      <c r="C12" s="157" t="n"/>
      <c r="D12" s="157" t="n"/>
      <c r="E12" s="157" t="n"/>
      <c r="F12" s="157" t="n"/>
      <c r="G12" s="157" t="n"/>
      <c r="H12" s="157" t="n"/>
      <c r="I12" s="157" t="n"/>
      <c r="J12" s="157" t="n"/>
      <c r="K12" s="158">
        <f>IFERROR(D12+F12+H12+J12,0)</f>
        <v/>
      </c>
      <c r="L12" s="157" t="n"/>
      <c r="M12" s="159">
        <f>'1. بيانات العميل'!K12</f>
        <v/>
      </c>
      <c r="N12" s="160">
        <f>IFERROR(IF(M12&gt;0,L12/M12,0),0)</f>
        <v/>
      </c>
    </row>
    <row r="13" ht="15" customHeight="1" s="104">
      <c r="A13" s="149">
        <f>'1. بيانات العميل'!A13</f>
        <v/>
      </c>
      <c r="B13" s="156">
        <f>'1. بيانات العميل'!C13</f>
        <v/>
      </c>
      <c r="C13" s="157" t="n"/>
      <c r="D13" s="157" t="n"/>
      <c r="E13" s="157" t="n"/>
      <c r="F13" s="157" t="n"/>
      <c r="G13" s="157" t="n"/>
      <c r="H13" s="157" t="n"/>
      <c r="I13" s="157" t="n"/>
      <c r="J13" s="157" t="n"/>
      <c r="K13" s="158">
        <f>IFERROR(D13+F13+H13+J13,0)</f>
        <v/>
      </c>
      <c r="L13" s="157" t="n"/>
      <c r="M13" s="159">
        <f>'1. بيانات العميل'!K13</f>
        <v/>
      </c>
      <c r="N13" s="160">
        <f>IFERROR(IF(M13&gt;0,L13/M13,0),0)</f>
        <v/>
      </c>
    </row>
    <row r="14" ht="15" customHeight="1" s="104">
      <c r="A14" s="149">
        <f>'1. بيانات العميل'!A14</f>
        <v/>
      </c>
      <c r="B14" s="156">
        <f>'1. بيانات العميل'!C14</f>
        <v/>
      </c>
      <c r="C14" s="157" t="n"/>
      <c r="D14" s="157" t="n"/>
      <c r="E14" s="157" t="n"/>
      <c r="F14" s="157" t="n"/>
      <c r="G14" s="157" t="n"/>
      <c r="H14" s="157" t="n"/>
      <c r="I14" s="157" t="n"/>
      <c r="J14" s="157" t="n"/>
      <c r="K14" s="158">
        <f>IFERROR(D14+F14+H14+J14,0)</f>
        <v/>
      </c>
      <c r="L14" s="157" t="n"/>
      <c r="M14" s="159">
        <f>'1. بيانات العميل'!K14</f>
        <v/>
      </c>
      <c r="N14" s="160">
        <f>IFERROR(IF(M14&gt;0,L14/M14,0),0)</f>
        <v/>
      </c>
    </row>
    <row r="15" ht="15" customHeight="1" s="104">
      <c r="A15" s="149">
        <f>'1. بيانات العميل'!A15</f>
        <v/>
      </c>
      <c r="B15" s="156">
        <f>'1. بيانات العميل'!C15</f>
        <v/>
      </c>
      <c r="C15" s="157" t="n"/>
      <c r="D15" s="157" t="n"/>
      <c r="E15" s="157" t="n"/>
      <c r="F15" s="157" t="n"/>
      <c r="G15" s="157" t="n"/>
      <c r="H15" s="157" t="n"/>
      <c r="I15" s="157" t="n"/>
      <c r="J15" s="157" t="n"/>
      <c r="K15" s="158">
        <f>IFERROR(D15+F15+H15+J15,0)</f>
        <v/>
      </c>
      <c r="L15" s="157" t="n"/>
      <c r="M15" s="159">
        <f>'1. بيانات العميل'!K15</f>
        <v/>
      </c>
      <c r="N15" s="160">
        <f>IFERROR(IF(M15&gt;0,L15/M15,0),0)</f>
        <v/>
      </c>
    </row>
    <row r="16" ht="15" customHeight="1" s="104">
      <c r="A16" s="149">
        <f>'1. بيانات العميل'!A16</f>
        <v/>
      </c>
      <c r="B16" s="156">
        <f>'1. بيانات العميل'!C16</f>
        <v/>
      </c>
      <c r="C16" s="157" t="n"/>
      <c r="D16" s="157" t="n"/>
      <c r="E16" s="157" t="n"/>
      <c r="F16" s="157" t="n"/>
      <c r="G16" s="157" t="n"/>
      <c r="H16" s="157" t="n"/>
      <c r="I16" s="157" t="n"/>
      <c r="J16" s="157" t="n"/>
      <c r="K16" s="158">
        <f>IFERROR(D16+F16+H16+J16,0)</f>
        <v/>
      </c>
      <c r="L16" s="157" t="n"/>
      <c r="M16" s="159">
        <f>'1. بيانات العميل'!K16</f>
        <v/>
      </c>
      <c r="N16" s="160">
        <f>IFERROR(IF(M16&gt;0,L16/M16,0),0)</f>
        <v/>
      </c>
    </row>
    <row r="17" ht="15" customHeight="1" s="104">
      <c r="A17" s="149">
        <f>'1. بيانات العميل'!A17</f>
        <v/>
      </c>
      <c r="B17" s="156">
        <f>'1. بيانات العميل'!C17</f>
        <v/>
      </c>
      <c r="C17" s="157" t="n"/>
      <c r="D17" s="157" t="n"/>
      <c r="E17" s="157" t="n"/>
      <c r="F17" s="157" t="n"/>
      <c r="G17" s="157" t="n"/>
      <c r="H17" s="157" t="n"/>
      <c r="I17" s="157" t="n"/>
      <c r="J17" s="157" t="n"/>
      <c r="K17" s="158">
        <f>IFERROR(D17+F17+H17+J17,0)</f>
        <v/>
      </c>
      <c r="L17" s="157" t="n"/>
      <c r="M17" s="159">
        <f>'1. بيانات العميل'!K17</f>
        <v/>
      </c>
      <c r="N17" s="160">
        <f>IFERROR(IF(M17&gt;0,L17/M17,0),0)</f>
        <v/>
      </c>
    </row>
    <row r="18" ht="15" customHeight="1" s="104">
      <c r="A18" s="149">
        <f>'1. بيانات العميل'!A18</f>
        <v/>
      </c>
      <c r="B18" s="156">
        <f>'1. بيانات العميل'!C18</f>
        <v/>
      </c>
      <c r="C18" s="157" t="n"/>
      <c r="D18" s="157" t="n"/>
      <c r="E18" s="157" t="n"/>
      <c r="F18" s="157" t="n"/>
      <c r="G18" s="157" t="n"/>
      <c r="H18" s="157" t="n"/>
      <c r="I18" s="157" t="n"/>
      <c r="J18" s="157" t="n"/>
      <c r="K18" s="158">
        <f>IFERROR(D18+F18+H18+J18,0)</f>
        <v/>
      </c>
      <c r="L18" s="157" t="n"/>
      <c r="M18" s="159">
        <f>'1. بيانات العميل'!K18</f>
        <v/>
      </c>
      <c r="N18" s="160">
        <f>IFERROR(IF(M18&gt;0,L18/M18,0),0)</f>
        <v/>
      </c>
    </row>
    <row r="19" ht="15" customHeight="1" s="104">
      <c r="A19" s="149">
        <f>'1. بيانات العميل'!A19</f>
        <v/>
      </c>
      <c r="B19" s="156">
        <f>'1. بيانات العميل'!C19</f>
        <v/>
      </c>
      <c r="C19" s="157" t="n"/>
      <c r="D19" s="157" t="n"/>
      <c r="E19" s="157" t="n"/>
      <c r="F19" s="157" t="n"/>
      <c r="G19" s="157" t="n"/>
      <c r="H19" s="157" t="n"/>
      <c r="I19" s="157" t="n"/>
      <c r="J19" s="157" t="n"/>
      <c r="K19" s="158">
        <f>IFERROR(D19+F19+H19+J19,0)</f>
        <v/>
      </c>
      <c r="L19" s="157" t="n"/>
      <c r="M19" s="159">
        <f>'1. بيانات العميل'!K19</f>
        <v/>
      </c>
      <c r="N19" s="160">
        <f>IFERROR(IF(M19&gt;0,L19/M19,0),0)</f>
        <v/>
      </c>
    </row>
    <row r="20" ht="15" customHeight="1" s="104">
      <c r="A20" s="149">
        <f>'1. بيانات العميل'!A20</f>
        <v/>
      </c>
      <c r="B20" s="156">
        <f>'1. بيانات العميل'!C20</f>
        <v/>
      </c>
      <c r="C20" s="157" t="n"/>
      <c r="D20" s="157" t="n"/>
      <c r="E20" s="157" t="n"/>
      <c r="F20" s="157" t="n"/>
      <c r="G20" s="157" t="n"/>
      <c r="H20" s="157" t="n"/>
      <c r="I20" s="157" t="n"/>
      <c r="J20" s="157" t="n"/>
      <c r="K20" s="158">
        <f>IFERROR(D20+F20+H20+J20,0)</f>
        <v/>
      </c>
      <c r="L20" s="157" t="n"/>
      <c r="M20" s="159">
        <f>'1. بيانات العميل'!K20</f>
        <v/>
      </c>
      <c r="N20" s="160">
        <f>IFERROR(IF(M20&gt;0,L20/M20,0),0)</f>
        <v/>
      </c>
    </row>
    <row r="21" ht="15" customHeight="1" s="104">
      <c r="A21" s="149">
        <f>'1. بيانات العميل'!A21</f>
        <v/>
      </c>
      <c r="B21" s="156">
        <f>'1. بيانات العميل'!C21</f>
        <v/>
      </c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8">
        <f>IFERROR(D21+F21+H21+J21,0)</f>
        <v/>
      </c>
      <c r="L21" s="157" t="n"/>
      <c r="M21" s="159">
        <f>'1. بيانات العميل'!K21</f>
        <v/>
      </c>
      <c r="N21" s="160">
        <f>IFERROR(IF(M21&gt;0,L21/M21,0),0)</f>
        <v/>
      </c>
    </row>
    <row r="22" ht="15" customHeight="1" s="104">
      <c r="A22" s="149">
        <f>'1. بيانات العميل'!A22</f>
        <v/>
      </c>
      <c r="B22" s="156">
        <f>'1. بيانات العميل'!C22</f>
        <v/>
      </c>
      <c r="C22" s="157" t="n"/>
      <c r="D22" s="157" t="n"/>
      <c r="E22" s="157" t="n"/>
      <c r="F22" s="157" t="n"/>
      <c r="G22" s="157" t="n"/>
      <c r="H22" s="157" t="n"/>
      <c r="I22" s="157" t="n"/>
      <c r="J22" s="157" t="n"/>
      <c r="K22" s="158">
        <f>IFERROR(D22+F22+H22+J22,0)</f>
        <v/>
      </c>
      <c r="L22" s="157" t="n"/>
      <c r="M22" s="159">
        <f>'1. بيانات العميل'!K22</f>
        <v/>
      </c>
      <c r="N22" s="160">
        <f>IFERROR(IF(M22&gt;0,L22/M22,0),0)</f>
        <v/>
      </c>
    </row>
    <row r="23" ht="15" customHeight="1" s="104">
      <c r="A23" s="149">
        <f>'1. بيانات العميل'!A23</f>
        <v/>
      </c>
      <c r="B23" s="156">
        <f>'1. بيانات العميل'!C23</f>
        <v/>
      </c>
      <c r="C23" s="157" t="n"/>
      <c r="D23" s="157" t="n"/>
      <c r="E23" s="157" t="n"/>
      <c r="F23" s="157" t="n"/>
      <c r="G23" s="157" t="n"/>
      <c r="H23" s="157" t="n"/>
      <c r="I23" s="157" t="n"/>
      <c r="J23" s="157" t="n"/>
      <c r="K23" s="158">
        <f>IFERROR(D23+F23+H23+J23,0)</f>
        <v/>
      </c>
      <c r="L23" s="157" t="n"/>
      <c r="M23" s="159">
        <f>'1. بيانات العميل'!K23</f>
        <v/>
      </c>
      <c r="N23" s="160">
        <f>IFERROR(IF(M23&gt;0,L23/M23,0),0)</f>
        <v/>
      </c>
    </row>
    <row r="24" ht="15" customHeight="1" s="104">
      <c r="A24" s="149">
        <f>'1. بيانات العميل'!A24</f>
        <v/>
      </c>
      <c r="B24" s="156">
        <f>'1. بيانات العميل'!C24</f>
        <v/>
      </c>
      <c r="C24" s="157" t="n"/>
      <c r="D24" s="157" t="n"/>
      <c r="E24" s="157" t="n"/>
      <c r="F24" s="157" t="n"/>
      <c r="G24" s="157" t="n"/>
      <c r="H24" s="157" t="n"/>
      <c r="I24" s="157" t="n"/>
      <c r="J24" s="157" t="n"/>
      <c r="K24" s="158">
        <f>IFERROR(D24+F24+H24+J24,0)</f>
        <v/>
      </c>
      <c r="L24" s="157" t="n"/>
      <c r="M24" s="159">
        <f>'1. بيانات العميل'!K24</f>
        <v/>
      </c>
      <c r="N24" s="160">
        <f>IFERROR(IF(M24&gt;0,L24/M24,0),0)</f>
        <v/>
      </c>
    </row>
    <row r="25" ht="15" customHeight="1" s="104">
      <c r="A25" s="149">
        <f>'1. بيانات العميل'!A25</f>
        <v/>
      </c>
      <c r="B25" s="156">
        <f>'1. بيانات العميل'!C25</f>
        <v/>
      </c>
      <c r="C25" s="157" t="n"/>
      <c r="D25" s="157" t="n"/>
      <c r="E25" s="157" t="n"/>
      <c r="F25" s="157" t="n"/>
      <c r="G25" s="157" t="n"/>
      <c r="H25" s="157" t="n"/>
      <c r="I25" s="157" t="n"/>
      <c r="J25" s="157" t="n"/>
      <c r="K25" s="158">
        <f>IFERROR(D25+F25+H25+J25,0)</f>
        <v/>
      </c>
      <c r="L25" s="157" t="n"/>
      <c r="M25" s="159">
        <f>'1. بيانات العميل'!K25</f>
        <v/>
      </c>
      <c r="N25" s="160">
        <f>IFERROR(IF(M25&gt;0,L25/M25,0),0)</f>
        <v/>
      </c>
    </row>
    <row r="26" ht="15" customHeight="1" s="104">
      <c r="A26" s="149">
        <f>'1. بيانات العميل'!A26</f>
        <v/>
      </c>
      <c r="B26" s="156">
        <f>'1. بيانات العميل'!C26</f>
        <v/>
      </c>
      <c r="C26" s="157" t="n"/>
      <c r="D26" s="157" t="n"/>
      <c r="E26" s="157" t="n"/>
      <c r="F26" s="157" t="n"/>
      <c r="G26" s="157" t="n"/>
      <c r="H26" s="157" t="n"/>
      <c r="I26" s="157" t="n"/>
      <c r="J26" s="157" t="n"/>
      <c r="K26" s="158">
        <f>IFERROR(D26+F26+H26+J26,0)</f>
        <v/>
      </c>
      <c r="L26" s="157" t="n"/>
      <c r="M26" s="159">
        <f>'1. بيانات العميل'!K26</f>
        <v/>
      </c>
      <c r="N26" s="160">
        <f>IFERROR(IF(M26&gt;0,L26/M26,0),0)</f>
        <v/>
      </c>
    </row>
    <row r="27" ht="15" customHeight="1" s="104">
      <c r="A27" s="149">
        <f>'1. بيانات العميل'!A27</f>
        <v/>
      </c>
      <c r="B27" s="156">
        <f>'1. بيانات العميل'!C27</f>
        <v/>
      </c>
      <c r="C27" s="157" t="n"/>
      <c r="D27" s="157" t="n"/>
      <c r="E27" s="157" t="n"/>
      <c r="F27" s="157" t="n"/>
      <c r="G27" s="157" t="n"/>
      <c r="H27" s="157" t="n"/>
      <c r="I27" s="157" t="n"/>
      <c r="J27" s="157" t="n"/>
      <c r="K27" s="158">
        <f>IFERROR(D27+F27+H27+J27,0)</f>
        <v/>
      </c>
      <c r="L27" s="157" t="n"/>
      <c r="M27" s="159">
        <f>'1. بيانات العميل'!K27</f>
        <v/>
      </c>
      <c r="N27" s="160">
        <f>IFERROR(IF(M27&gt;0,L27/M27,0),0)</f>
        <v/>
      </c>
    </row>
    <row r="28" ht="15" customHeight="1" s="104">
      <c r="A28" s="149">
        <f>'1. بيانات العميل'!A28</f>
        <v/>
      </c>
      <c r="B28" s="156">
        <f>'1. بيانات العميل'!C28</f>
        <v/>
      </c>
      <c r="C28" s="157" t="n"/>
      <c r="D28" s="157" t="n"/>
      <c r="E28" s="157" t="n"/>
      <c r="F28" s="157" t="n"/>
      <c r="G28" s="157" t="n"/>
      <c r="H28" s="157" t="n"/>
      <c r="I28" s="157" t="n"/>
      <c r="J28" s="157" t="n"/>
      <c r="K28" s="158">
        <f>IFERROR(D28+F28+H28+J28,0)</f>
        <v/>
      </c>
      <c r="L28" s="157" t="n"/>
      <c r="M28" s="159">
        <f>'1. بيانات العميل'!K28</f>
        <v/>
      </c>
      <c r="N28" s="160">
        <f>IFERROR(IF(M28&gt;0,L28/M28,0),0)</f>
        <v/>
      </c>
    </row>
    <row r="29" ht="15" customHeight="1" s="104">
      <c r="A29" s="149">
        <f>'1. بيانات العميل'!A29</f>
        <v/>
      </c>
      <c r="B29" s="156">
        <f>'1. بيانات العميل'!C29</f>
        <v/>
      </c>
      <c r="C29" s="157" t="n"/>
      <c r="D29" s="157" t="n"/>
      <c r="E29" s="157" t="n"/>
      <c r="F29" s="157" t="n"/>
      <c r="G29" s="157" t="n"/>
      <c r="H29" s="157" t="n"/>
      <c r="I29" s="157" t="n"/>
      <c r="J29" s="157" t="n"/>
      <c r="K29" s="158">
        <f>IFERROR(D29+F29+H29+J29,0)</f>
        <v/>
      </c>
      <c r="L29" s="157" t="n"/>
      <c r="M29" s="159">
        <f>'1. بيانات العميل'!K29</f>
        <v/>
      </c>
      <c r="N29" s="160">
        <f>IFERROR(IF(M29&gt;0,L29/M29,0),0)</f>
        <v/>
      </c>
    </row>
    <row r="30" ht="15" customHeight="1" s="104">
      <c r="A30" s="149">
        <f>'1. بيانات العميل'!A30</f>
        <v/>
      </c>
      <c r="B30" s="156">
        <f>'1. بيانات العميل'!C30</f>
        <v/>
      </c>
      <c r="C30" s="157" t="n"/>
      <c r="D30" s="157" t="n"/>
      <c r="E30" s="157" t="n"/>
      <c r="F30" s="157" t="n"/>
      <c r="G30" s="157" t="n"/>
      <c r="H30" s="157" t="n"/>
      <c r="I30" s="157" t="n"/>
      <c r="J30" s="157" t="n"/>
      <c r="K30" s="158">
        <f>IFERROR(D30+F30+H30+J30,0)</f>
        <v/>
      </c>
      <c r="L30" s="157" t="n"/>
      <c r="M30" s="159">
        <f>'1. بيانات العميل'!K30</f>
        <v/>
      </c>
      <c r="N30" s="160">
        <f>IFERROR(IF(M30&gt;0,L30/M30,0),0)</f>
        <v/>
      </c>
    </row>
    <row r="31" ht="15" customHeight="1" s="104">
      <c r="A31" s="149">
        <f>'1. بيانات العميل'!A31</f>
        <v/>
      </c>
      <c r="B31" s="156">
        <f>'1. بيانات العميل'!C31</f>
        <v/>
      </c>
      <c r="C31" s="157" t="n"/>
      <c r="D31" s="157" t="n"/>
      <c r="E31" s="157" t="n"/>
      <c r="F31" s="157" t="n"/>
      <c r="G31" s="157" t="n"/>
      <c r="H31" s="157" t="n"/>
      <c r="I31" s="157" t="n"/>
      <c r="J31" s="157" t="n"/>
      <c r="K31" s="158">
        <f>IFERROR(D31+F31+H31+J31,0)</f>
        <v/>
      </c>
      <c r="L31" s="157" t="n"/>
      <c r="M31" s="159">
        <f>'1. بيانات العميل'!K31</f>
        <v/>
      </c>
      <c r="N31" s="160">
        <f>IFERROR(IF(M31&gt;0,L31/M31,0),0)</f>
        <v/>
      </c>
    </row>
    <row r="32" ht="15" customHeight="1" s="104">
      <c r="A32" s="149">
        <f>'1. بيانات العميل'!A32</f>
        <v/>
      </c>
      <c r="B32" s="156">
        <f>'1. بيانات العميل'!C32</f>
        <v/>
      </c>
      <c r="C32" s="157" t="n"/>
      <c r="D32" s="157" t="n"/>
      <c r="E32" s="157" t="n"/>
      <c r="F32" s="157" t="n"/>
      <c r="G32" s="157" t="n"/>
      <c r="H32" s="157" t="n"/>
      <c r="I32" s="157" t="n"/>
      <c r="J32" s="157" t="n"/>
      <c r="K32" s="158">
        <f>IFERROR(D32+F32+H32+J32,0)</f>
        <v/>
      </c>
      <c r="L32" s="157" t="n"/>
      <c r="M32" s="159">
        <f>'1. بيانات العميل'!K32</f>
        <v/>
      </c>
      <c r="N32" s="160">
        <f>IFERROR(IF(M32&gt;0,L32/M32,0),0)</f>
        <v/>
      </c>
    </row>
    <row r="33" ht="15" customHeight="1" s="104">
      <c r="A33" s="149">
        <f>'1. بيانات العميل'!A33</f>
        <v/>
      </c>
      <c r="B33" s="156">
        <f>'1. بيانات العميل'!C33</f>
        <v/>
      </c>
      <c r="C33" s="157" t="n"/>
      <c r="D33" s="157" t="n"/>
      <c r="E33" s="157" t="n"/>
      <c r="F33" s="157" t="n"/>
      <c r="G33" s="157" t="n"/>
      <c r="H33" s="157" t="n"/>
      <c r="I33" s="157" t="n"/>
      <c r="J33" s="157" t="n"/>
      <c r="K33" s="158">
        <f>IFERROR(D33+F33+H33+J33,0)</f>
        <v/>
      </c>
      <c r="L33" s="157" t="n"/>
      <c r="M33" s="159">
        <f>'1. بيانات العميل'!K33</f>
        <v/>
      </c>
      <c r="N33" s="160">
        <f>IFERROR(IF(M33&gt;0,L33/M33,0),0)</f>
        <v/>
      </c>
    </row>
    <row r="34" ht="15" customHeight="1" s="104">
      <c r="A34" s="149">
        <f>'1. بيانات العميل'!A34</f>
        <v/>
      </c>
      <c r="B34" s="156">
        <f>'1. بيانات العميل'!C34</f>
        <v/>
      </c>
      <c r="C34" s="157" t="n"/>
      <c r="D34" s="157" t="n"/>
      <c r="E34" s="157" t="n"/>
      <c r="F34" s="157" t="n"/>
      <c r="G34" s="157" t="n"/>
      <c r="H34" s="157" t="n"/>
      <c r="I34" s="157" t="n"/>
      <c r="J34" s="157" t="n"/>
      <c r="K34" s="158">
        <f>IFERROR(D34+F34+H34+J34,0)</f>
        <v/>
      </c>
      <c r="L34" s="157" t="n"/>
      <c r="M34" s="159">
        <f>'1. بيانات العميل'!K34</f>
        <v/>
      </c>
      <c r="N34" s="160">
        <f>IFERROR(IF(M34&gt;0,L34/M34,0),0)</f>
        <v/>
      </c>
    </row>
    <row r="35" ht="15" customHeight="1" s="104">
      <c r="A35" s="149">
        <f>'1. بيانات العميل'!A35</f>
        <v/>
      </c>
      <c r="B35" s="156">
        <f>'1. بيانات العميل'!C35</f>
        <v/>
      </c>
      <c r="C35" s="157" t="n"/>
      <c r="D35" s="157" t="n"/>
      <c r="E35" s="157" t="n"/>
      <c r="F35" s="157" t="n"/>
      <c r="G35" s="157" t="n"/>
      <c r="H35" s="157" t="n"/>
      <c r="I35" s="157" t="n"/>
      <c r="J35" s="157" t="n"/>
      <c r="K35" s="158">
        <f>IFERROR(D35+F35+H35+J35,0)</f>
        <v/>
      </c>
      <c r="L35" s="157" t="n"/>
      <c r="M35" s="159">
        <f>'1. بيانات العميل'!K35</f>
        <v/>
      </c>
      <c r="N35" s="160">
        <f>IFERROR(IF(M35&gt;0,L35/M35,0),0)</f>
        <v/>
      </c>
    </row>
    <row r="36" ht="15" customHeight="1" s="104">
      <c r="A36" s="149">
        <f>'1. بيانات العميل'!A36</f>
        <v/>
      </c>
      <c r="B36" s="156">
        <f>'1. بيانات العميل'!C36</f>
        <v/>
      </c>
      <c r="C36" s="157" t="n"/>
      <c r="D36" s="157" t="n"/>
      <c r="E36" s="157" t="n"/>
      <c r="F36" s="157" t="n"/>
      <c r="G36" s="157" t="n"/>
      <c r="H36" s="157" t="n"/>
      <c r="I36" s="157" t="n"/>
      <c r="J36" s="157" t="n"/>
      <c r="K36" s="158">
        <f>IFERROR(D36+F36+H36+J36,0)</f>
        <v/>
      </c>
      <c r="L36" s="157" t="n"/>
      <c r="M36" s="159">
        <f>'1. بيانات العميل'!K36</f>
        <v/>
      </c>
      <c r="N36" s="160">
        <f>IFERROR(IF(M36&gt;0,L36/M36,0),0)</f>
        <v/>
      </c>
    </row>
    <row r="37" ht="15" customHeight="1" s="104">
      <c r="A37" s="149">
        <f>'1. بيانات العميل'!A37</f>
        <v/>
      </c>
      <c r="B37" s="156">
        <f>'1. بيانات العميل'!C37</f>
        <v/>
      </c>
      <c r="C37" s="157" t="n"/>
      <c r="D37" s="157" t="n"/>
      <c r="E37" s="157" t="n"/>
      <c r="F37" s="157" t="n"/>
      <c r="G37" s="157" t="n"/>
      <c r="H37" s="157" t="n"/>
      <c r="I37" s="157" t="n"/>
      <c r="J37" s="157" t="n"/>
      <c r="K37" s="158">
        <f>IFERROR(D37+F37+H37+J37,0)</f>
        <v/>
      </c>
      <c r="L37" s="157" t="n"/>
      <c r="M37" s="159">
        <f>'1. بيانات العميل'!K37</f>
        <v/>
      </c>
      <c r="N37" s="160">
        <f>IFERROR(IF(M37&gt;0,L37/M37,0),0)</f>
        <v/>
      </c>
    </row>
    <row r="38" ht="15" customHeight="1" s="104">
      <c r="A38" s="149">
        <f>'1. بيانات العميل'!A38</f>
        <v/>
      </c>
      <c r="B38" s="156">
        <f>'1. بيانات العميل'!C38</f>
        <v/>
      </c>
      <c r="C38" s="157" t="n"/>
      <c r="D38" s="157" t="n"/>
      <c r="E38" s="157" t="n"/>
      <c r="F38" s="157" t="n"/>
      <c r="G38" s="157" t="n"/>
      <c r="H38" s="157" t="n"/>
      <c r="I38" s="157" t="n"/>
      <c r="J38" s="157" t="n"/>
      <c r="K38" s="158">
        <f>IFERROR(D38+F38+H38+J38,0)</f>
        <v/>
      </c>
      <c r="L38" s="157" t="n"/>
      <c r="M38" s="159">
        <f>'1. بيانات العميل'!K38</f>
        <v/>
      </c>
      <c r="N38" s="160">
        <f>IFERROR(IF(M38&gt;0,L38/M38,0),0)</f>
        <v/>
      </c>
    </row>
    <row r="39" ht="15" customHeight="1" s="104">
      <c r="A39" s="149">
        <f>'1. بيانات العميل'!A39</f>
        <v/>
      </c>
      <c r="B39" s="156">
        <f>'1. بيانات العميل'!C39</f>
        <v/>
      </c>
      <c r="C39" s="157" t="n"/>
      <c r="D39" s="157" t="n"/>
      <c r="E39" s="157" t="n"/>
      <c r="F39" s="157" t="n"/>
      <c r="G39" s="157" t="n"/>
      <c r="H39" s="157" t="n"/>
      <c r="I39" s="157" t="n"/>
      <c r="J39" s="157" t="n"/>
      <c r="K39" s="158">
        <f>IFERROR(D39+F39+H39+J39,0)</f>
        <v/>
      </c>
      <c r="L39" s="157" t="n"/>
      <c r="M39" s="159">
        <f>'1. بيانات العميل'!K39</f>
        <v/>
      </c>
      <c r="N39" s="160">
        <f>IFERROR(IF(M39&gt;0,L39/M39,0),0)</f>
        <v/>
      </c>
    </row>
    <row r="40" ht="15" customHeight="1" s="104">
      <c r="A40" s="149">
        <f>'1. بيانات العميل'!A40</f>
        <v/>
      </c>
      <c r="B40" s="156">
        <f>'1. بيانات العميل'!C40</f>
        <v/>
      </c>
      <c r="C40" s="157" t="n"/>
      <c r="D40" s="157" t="n"/>
      <c r="E40" s="157" t="n"/>
      <c r="F40" s="157" t="n"/>
      <c r="G40" s="157" t="n"/>
      <c r="H40" s="157" t="n"/>
      <c r="I40" s="157" t="n"/>
      <c r="J40" s="157" t="n"/>
      <c r="K40" s="158">
        <f>IFERROR(D40+F40+H40+J40,0)</f>
        <v/>
      </c>
      <c r="L40" s="157" t="n"/>
      <c r="M40" s="159">
        <f>'1. بيانات العميل'!K40</f>
        <v/>
      </c>
      <c r="N40" s="160">
        <f>IFERROR(IF(M40&gt;0,L40/M40,0),0)</f>
        <v/>
      </c>
    </row>
    <row r="41" ht="15" customHeight="1" s="104">
      <c r="A41" s="149">
        <f>'1. بيانات العميل'!A41</f>
        <v/>
      </c>
      <c r="B41" s="156">
        <f>'1. بيانات العميل'!C41</f>
        <v/>
      </c>
      <c r="C41" s="157" t="n"/>
      <c r="D41" s="157" t="n"/>
      <c r="E41" s="157" t="n"/>
      <c r="F41" s="157" t="n"/>
      <c r="G41" s="157" t="n"/>
      <c r="H41" s="157" t="n"/>
      <c r="I41" s="157" t="n"/>
      <c r="J41" s="157" t="n"/>
      <c r="K41" s="158">
        <f>IFERROR(D41+F41+H41+J41,0)</f>
        <v/>
      </c>
      <c r="L41" s="157" t="n"/>
      <c r="M41" s="159">
        <f>'1. بيانات العميل'!K41</f>
        <v/>
      </c>
      <c r="N41" s="160">
        <f>IFERROR(IF(M41&gt;0,L41/M41,0),0)</f>
        <v/>
      </c>
    </row>
    <row r="42" ht="15" customHeight="1" s="104">
      <c r="A42" s="149">
        <f>'1. بيانات العميل'!A42</f>
        <v/>
      </c>
      <c r="B42" s="156">
        <f>'1. بيانات العميل'!C42</f>
        <v/>
      </c>
      <c r="C42" s="157" t="n"/>
      <c r="D42" s="157" t="n"/>
      <c r="E42" s="157" t="n"/>
      <c r="F42" s="157" t="n"/>
      <c r="G42" s="157" t="n"/>
      <c r="H42" s="157" t="n"/>
      <c r="I42" s="157" t="n"/>
      <c r="J42" s="157" t="n"/>
      <c r="K42" s="158">
        <f>IFERROR(D42+F42+H42+J42,0)</f>
        <v/>
      </c>
      <c r="L42" s="157" t="n"/>
      <c r="M42" s="159">
        <f>'1. بيانات العميل'!K42</f>
        <v/>
      </c>
      <c r="N42" s="160">
        <f>IFERROR(IF(M42&gt;0,L42/M42,0),0)</f>
        <v/>
      </c>
    </row>
    <row r="43" ht="15" customHeight="1" s="104">
      <c r="A43" s="149">
        <f>'1. بيانات العميل'!A43</f>
        <v/>
      </c>
      <c r="B43" s="156">
        <f>'1. بيانات العميل'!C43</f>
        <v/>
      </c>
      <c r="C43" s="157" t="n"/>
      <c r="D43" s="157" t="n"/>
      <c r="E43" s="157" t="n"/>
      <c r="F43" s="157" t="n"/>
      <c r="G43" s="157" t="n"/>
      <c r="H43" s="157" t="n"/>
      <c r="I43" s="157" t="n"/>
      <c r="J43" s="157" t="n"/>
      <c r="K43" s="158">
        <f>IFERROR(D43+F43+H43+J43,0)</f>
        <v/>
      </c>
      <c r="L43" s="157" t="n"/>
      <c r="M43" s="159">
        <f>'1. بيانات العميل'!K43</f>
        <v/>
      </c>
      <c r="N43" s="160">
        <f>IFERROR(IF(M43&gt;0,L43/M43,0),0)</f>
        <v/>
      </c>
    </row>
    <row r="44" ht="15" customHeight="1" s="104">
      <c r="A44" s="149">
        <f>'1. بيانات العميل'!A44</f>
        <v/>
      </c>
      <c r="B44" s="156">
        <f>'1. بيانات العميل'!C44</f>
        <v/>
      </c>
      <c r="C44" s="157" t="n"/>
      <c r="D44" s="157" t="n"/>
      <c r="E44" s="157" t="n"/>
      <c r="F44" s="157" t="n"/>
      <c r="G44" s="157" t="n"/>
      <c r="H44" s="157" t="n"/>
      <c r="I44" s="157" t="n"/>
      <c r="J44" s="157" t="n"/>
      <c r="K44" s="158">
        <f>IFERROR(D44+F44+H44+J44,0)</f>
        <v/>
      </c>
      <c r="L44" s="157" t="n"/>
      <c r="M44" s="159">
        <f>'1. بيانات العميل'!K44</f>
        <v/>
      </c>
      <c r="N44" s="160">
        <f>IFERROR(IF(M44&gt;0,L44/M44,0),0)</f>
        <v/>
      </c>
    </row>
    <row r="45" ht="15" customHeight="1" s="104">
      <c r="A45" s="149">
        <f>'1. بيانات العميل'!A45</f>
        <v/>
      </c>
      <c r="B45" s="156">
        <f>'1. بيانات العميل'!C45</f>
        <v/>
      </c>
      <c r="C45" s="157" t="n"/>
      <c r="D45" s="157" t="n"/>
      <c r="E45" s="157" t="n"/>
      <c r="F45" s="157" t="n"/>
      <c r="G45" s="157" t="n"/>
      <c r="H45" s="157" t="n"/>
      <c r="I45" s="157" t="n"/>
      <c r="J45" s="157" t="n"/>
      <c r="K45" s="158">
        <f>IFERROR(D45+F45+H45+J45,0)</f>
        <v/>
      </c>
      <c r="L45" s="157" t="n"/>
      <c r="M45" s="159">
        <f>'1. بيانات العميل'!K45</f>
        <v/>
      </c>
      <c r="N45" s="160">
        <f>IFERROR(IF(M45&gt;0,L45/M45,0),0)</f>
        <v/>
      </c>
    </row>
    <row r="46" ht="15" customHeight="1" s="104">
      <c r="A46" s="149">
        <f>'1. بيانات العميل'!A46</f>
        <v/>
      </c>
      <c r="B46" s="156">
        <f>'1. بيانات العميل'!C46</f>
        <v/>
      </c>
      <c r="C46" s="157" t="n"/>
      <c r="D46" s="157" t="n"/>
      <c r="E46" s="157" t="n"/>
      <c r="F46" s="157" t="n"/>
      <c r="G46" s="157" t="n"/>
      <c r="H46" s="157" t="n"/>
      <c r="I46" s="157" t="n"/>
      <c r="J46" s="157" t="n"/>
      <c r="K46" s="158">
        <f>IFERROR(D46+F46+H46+J46,0)</f>
        <v/>
      </c>
      <c r="L46" s="157" t="n"/>
      <c r="M46" s="159">
        <f>'1. بيانات العميل'!K46</f>
        <v/>
      </c>
      <c r="N46" s="160">
        <f>IFERROR(IF(M46&gt;0,L46/M46,0),0)</f>
        <v/>
      </c>
    </row>
    <row r="47" ht="15" customHeight="1" s="104">
      <c r="A47" s="149">
        <f>'1. بيانات العميل'!A47</f>
        <v/>
      </c>
      <c r="B47" s="156">
        <f>'1. بيانات العميل'!C47</f>
        <v/>
      </c>
      <c r="C47" s="157" t="n"/>
      <c r="D47" s="157" t="n"/>
      <c r="E47" s="157" t="n"/>
      <c r="F47" s="157" t="n"/>
      <c r="G47" s="157" t="n"/>
      <c r="H47" s="157" t="n"/>
      <c r="I47" s="157" t="n"/>
      <c r="J47" s="157" t="n"/>
      <c r="K47" s="158">
        <f>IFERROR(D47+F47+H47+J47,0)</f>
        <v/>
      </c>
      <c r="L47" s="157" t="n"/>
      <c r="M47" s="159">
        <f>'1. بيانات العميل'!K47</f>
        <v/>
      </c>
      <c r="N47" s="160">
        <f>IFERROR(IF(M47&gt;0,L47/M47,0),0)</f>
        <v/>
      </c>
    </row>
    <row r="48" ht="15" customHeight="1" s="104">
      <c r="A48" s="149">
        <f>'1. بيانات العميل'!A48</f>
        <v/>
      </c>
      <c r="B48" s="156">
        <f>'1. بيانات العميل'!C48</f>
        <v/>
      </c>
      <c r="C48" s="157" t="n"/>
      <c r="D48" s="157" t="n"/>
      <c r="E48" s="157" t="n"/>
      <c r="F48" s="157" t="n"/>
      <c r="G48" s="157" t="n"/>
      <c r="H48" s="157" t="n"/>
      <c r="I48" s="157" t="n"/>
      <c r="J48" s="157" t="n"/>
      <c r="K48" s="158">
        <f>IFERROR(D48+F48+H48+J48,0)</f>
        <v/>
      </c>
      <c r="L48" s="157" t="n"/>
      <c r="M48" s="159">
        <f>'1. بيانات العميل'!K48</f>
        <v/>
      </c>
      <c r="N48" s="160">
        <f>IFERROR(IF(M48&gt;0,L48/M48,0),0)</f>
        <v/>
      </c>
    </row>
    <row r="49" ht="15" customHeight="1" s="104">
      <c r="A49" s="149">
        <f>'1. بيانات العميل'!A49</f>
        <v/>
      </c>
      <c r="B49" s="156">
        <f>'1. بيانات العميل'!C49</f>
        <v/>
      </c>
      <c r="C49" s="157" t="n"/>
      <c r="D49" s="157" t="n"/>
      <c r="E49" s="157" t="n"/>
      <c r="F49" s="157" t="n"/>
      <c r="G49" s="157" t="n"/>
      <c r="H49" s="157" t="n"/>
      <c r="I49" s="157" t="n"/>
      <c r="J49" s="157" t="n"/>
      <c r="K49" s="158">
        <f>IFERROR(D49+F49+H49+J49,0)</f>
        <v/>
      </c>
      <c r="L49" s="157" t="n"/>
      <c r="M49" s="159">
        <f>'1. بيانات العميل'!K49</f>
        <v/>
      </c>
      <c r="N49" s="160">
        <f>IFERROR(IF(M49&gt;0,L49/M49,0),0)</f>
        <v/>
      </c>
    </row>
    <row r="50" ht="15" customHeight="1" s="104">
      <c r="A50" s="149">
        <f>'1. بيانات العميل'!A50</f>
        <v/>
      </c>
      <c r="B50" s="156">
        <f>'1. بيانات العميل'!C50</f>
        <v/>
      </c>
      <c r="C50" s="157" t="n"/>
      <c r="D50" s="157" t="n"/>
      <c r="E50" s="157" t="n"/>
      <c r="F50" s="157" t="n"/>
      <c r="G50" s="157" t="n"/>
      <c r="H50" s="157" t="n"/>
      <c r="I50" s="157" t="n"/>
      <c r="J50" s="157" t="n"/>
      <c r="K50" s="158">
        <f>IFERROR(D50+F50+H50+J50,0)</f>
        <v/>
      </c>
      <c r="L50" s="157" t="n"/>
      <c r="M50" s="159">
        <f>'1. بيانات العميل'!K50</f>
        <v/>
      </c>
      <c r="N50" s="160">
        <f>IFERROR(IF(M50&gt;0,L50/M50,0),0)</f>
        <v/>
      </c>
    </row>
    <row r="51" ht="15" customHeight="1" s="104">
      <c r="A51" s="149">
        <f>'1. بيانات العميل'!A51</f>
        <v/>
      </c>
      <c r="B51" s="156">
        <f>'1. بيانات العميل'!C51</f>
        <v/>
      </c>
      <c r="C51" s="157" t="n"/>
      <c r="D51" s="157" t="n"/>
      <c r="E51" s="157" t="n"/>
      <c r="F51" s="157" t="n"/>
      <c r="G51" s="157" t="n"/>
      <c r="H51" s="157" t="n"/>
      <c r="I51" s="157" t="n"/>
      <c r="J51" s="157" t="n"/>
      <c r="K51" s="158">
        <f>IFERROR(D51+F51+H51+J51,0)</f>
        <v/>
      </c>
      <c r="L51" s="157" t="n"/>
      <c r="M51" s="159">
        <f>'1. بيانات العميل'!K51</f>
        <v/>
      </c>
      <c r="N51" s="160">
        <f>IFERROR(IF(M51&gt;0,L51/M51,0),0)</f>
        <v/>
      </c>
    </row>
    <row r="52" ht="15" customHeight="1" s="104">
      <c r="A52" s="149">
        <f>'1. بيانات العميل'!A52</f>
        <v/>
      </c>
      <c r="B52" s="156">
        <f>'1. بيانات العميل'!C52</f>
        <v/>
      </c>
      <c r="C52" s="157" t="n"/>
      <c r="D52" s="157" t="n"/>
      <c r="E52" s="157" t="n"/>
      <c r="F52" s="157" t="n"/>
      <c r="G52" s="157" t="n"/>
      <c r="H52" s="157" t="n"/>
      <c r="I52" s="157" t="n"/>
      <c r="J52" s="157" t="n"/>
      <c r="K52" s="158">
        <f>IFERROR(D52+F52+H52+J52,0)</f>
        <v/>
      </c>
      <c r="L52" s="157" t="n"/>
      <c r="M52" s="159">
        <f>'1. بيانات العميل'!K52</f>
        <v/>
      </c>
      <c r="N52" s="160">
        <f>IFERROR(IF(M52&gt;0,L52/M52,0),0)</f>
        <v/>
      </c>
    </row>
    <row r="53" ht="15" customHeight="1" s="104">
      <c r="A53" s="149">
        <f>'1. بيانات العميل'!A53</f>
        <v/>
      </c>
      <c r="B53" s="156">
        <f>'1. بيانات العميل'!C53</f>
        <v/>
      </c>
      <c r="C53" s="157" t="n"/>
      <c r="D53" s="157" t="n"/>
      <c r="E53" s="157" t="n"/>
      <c r="F53" s="157" t="n"/>
      <c r="G53" s="157" t="n"/>
      <c r="H53" s="157" t="n"/>
      <c r="I53" s="157" t="n"/>
      <c r="J53" s="157" t="n"/>
      <c r="K53" s="158">
        <f>IFERROR(D53+F53+H53+J53,0)</f>
        <v/>
      </c>
      <c r="L53" s="157" t="n"/>
      <c r="M53" s="159">
        <f>'1. بيانات العميل'!K53</f>
        <v/>
      </c>
      <c r="N53" s="160">
        <f>IFERROR(IF(M53&gt;0,L53/M53,0),0)</f>
        <v/>
      </c>
    </row>
  </sheetData>
  <mergeCells count="2">
    <mergeCell ref="A2:N2"/>
    <mergeCell ref="A1:N1"/>
  </mergeCells>
  <conditionalFormatting sqref="N4:N53">
    <cfRule type="cellIs" rank="0" priority="2" equalAverage="0" operator="greaterThan" aboveAverage="0" dxfId="3" text="" percent="0" bottom="0">
      <formula>0.7</formula>
    </cfRule>
    <cfRule type="cellIs" rank="0" priority="3" equalAverage="0" operator="between" aboveAverage="0" dxfId="4" text="" percent="0" bottom="0">
      <formula>0.5</formula>
      <formula>0.7</formula>
    </cfRule>
    <cfRule type="cellIs" rank="0" priority="4" equalAverage="0" operator="lessThan" aboveAverage="0" dxfId="5" text="" percent="0" bottom="0">
      <formula>0.4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M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28" customWidth="1" style="103" min="2" max="2"/>
    <col width="12" customWidth="1" style="103" min="3" max="3"/>
    <col width="16" customWidth="1" style="103" min="4" max="4"/>
    <col width="12" customWidth="1" style="103" min="5" max="5"/>
    <col width="16" customWidth="1" style="103" min="6" max="6"/>
    <col width="14" customWidth="1" style="103" min="7" max="7"/>
    <col width="18" customWidth="1" style="103" min="8" max="8"/>
    <col width="12" customWidth="1" style="103" min="9" max="9"/>
    <col width="16" customWidth="1" style="103" min="10" max="10"/>
    <col width="14" customWidth="1" style="103" min="11" max="11"/>
    <col width="16" customWidth="1" style="103" min="12" max="12"/>
    <col width="22" customWidth="1" style="103" min="13" max="13"/>
  </cols>
  <sheetData>
    <row r="1" ht="45" customHeight="1" s="104">
      <c r="A1" s="155" t="inlineStr">
        <is>
          <t>⚖️  شاشة التنفيذات القضائية - Execution Cases Analysis</t>
        </is>
      </c>
    </row>
    <row r="3" ht="37.5" customHeight="1" s="104">
      <c r="A3" s="137" t="inlineStr">
        <is>
          <t>رقم الملف</t>
        </is>
      </c>
      <c r="B3" s="137" t="inlineStr">
        <is>
          <t>اسم العميل</t>
        </is>
      </c>
      <c r="C3" s="137" t="inlineStr">
        <is>
          <t>عدد طلبات
التنفيذ</t>
        </is>
      </c>
      <c r="D3" s="137" t="inlineStr">
        <is>
          <t>إجمالي مبالغ
التنفيذات</t>
        </is>
      </c>
      <c r="E3" s="137" t="inlineStr">
        <is>
          <t>ع. تنفيذات
الأفراد</t>
        </is>
      </c>
      <c r="F3" s="137" t="inlineStr">
        <is>
          <t>إجمالي تنفيذات
الأفراد</t>
        </is>
      </c>
      <c r="G3" s="137" t="inlineStr">
        <is>
          <t>ع. تنفيذات
شركات التمويل</t>
        </is>
      </c>
      <c r="H3" s="137" t="inlineStr">
        <is>
          <t>إجمالي تنفيذات
شركات التمويل</t>
        </is>
      </c>
      <c r="I3" s="137" t="inlineStr">
        <is>
          <t>ع. تنفيذات
البنوك</t>
        </is>
      </c>
      <c r="J3" s="137" t="inlineStr">
        <is>
          <t>إجمالي تنفيذات
البنوك</t>
        </is>
      </c>
      <c r="K3" s="161" t="inlineStr">
        <is>
          <t>إجمالي عدد
التنفيذات</t>
        </is>
      </c>
      <c r="L3" s="161" t="inlineStr">
        <is>
          <t>إجمالي مبلغ
التنفيذات</t>
        </is>
      </c>
      <c r="M3" s="161" t="inlineStr">
        <is>
          <t>مستوى المخاطر
Risk Level</t>
        </is>
      </c>
    </row>
    <row r="4" ht="15" customHeight="1" s="104">
      <c r="A4" s="149">
        <f>'1. بيانات العميل'!A4</f>
        <v/>
      </c>
      <c r="B4" s="156">
        <f>'1. بيانات العميل'!C4</f>
        <v/>
      </c>
      <c r="C4" s="152" t="n">
        <v>0</v>
      </c>
      <c r="D4" s="157" t="n">
        <v>0</v>
      </c>
      <c r="E4" s="152" t="n">
        <v>0</v>
      </c>
      <c r="F4" s="157" t="n">
        <v>0</v>
      </c>
      <c r="G4" s="152" t="n">
        <v>0</v>
      </c>
      <c r="H4" s="157" t="n">
        <v>0</v>
      </c>
      <c r="I4" s="152" t="n">
        <v>0</v>
      </c>
      <c r="J4" s="157" t="n">
        <v>0</v>
      </c>
      <c r="K4" s="162">
        <f>IFERROR(C4+E4+G4+I4,0)</f>
        <v/>
      </c>
      <c r="L4" s="158">
        <f>IFERROR(D4+F4+H4+J4,0)</f>
        <v/>
      </c>
      <c r="M4" s="162">
        <f>IF(K4=0,"لا توجد تنفيذات 🟢",IF(OR(K4&gt;8,L4&gt;100000,G4&gt;3),"مرفوض مباشر 🔴",IF(OR(K4&gt;5,L4&gt;50000),"مخاطر عالية 🟠",IF(OR(K4&gt;3,L4&gt;25000),"مخاطر متوسطة 🟡","مخاطر منخفضة 🟢"))))</f>
        <v/>
      </c>
    </row>
    <row r="5" ht="15" customHeight="1" s="104">
      <c r="A5" s="149">
        <f>'1. بيانات العميل'!A5</f>
        <v/>
      </c>
      <c r="B5" s="156">
        <f>'1. بيانات العميل'!C5</f>
        <v/>
      </c>
      <c r="C5" s="152" t="n">
        <v>2</v>
      </c>
      <c r="D5" s="157" t="n">
        <v>15000</v>
      </c>
      <c r="E5" s="152" t="n">
        <v>2</v>
      </c>
      <c r="F5" s="157" t="n">
        <v>15000</v>
      </c>
      <c r="G5" s="152" t="n">
        <v>0</v>
      </c>
      <c r="H5" s="157" t="n">
        <v>0</v>
      </c>
      <c r="I5" s="152" t="n">
        <v>0</v>
      </c>
      <c r="J5" s="157" t="n">
        <v>0</v>
      </c>
      <c r="K5" s="162">
        <f>IFERROR(C5+E5+G5+I5,0)</f>
        <v/>
      </c>
      <c r="L5" s="158">
        <f>IFERROR(D5+F5+H5+J5,0)</f>
        <v/>
      </c>
      <c r="M5" s="162">
        <f>IF(K5=0,"لا توجد تنفيذات 🟢",IF(OR(K5&gt;8,L5&gt;100000,G5&gt;3),"مرفوض مباشر 🔴",IF(OR(K5&gt;5,L5&gt;50000),"مخاطر عالية 🟠",IF(OR(K5&gt;3,L5&gt;25000),"مخاطر متوسطة 🟡","مخاطر منخفضة 🟢"))))</f>
        <v/>
      </c>
    </row>
    <row r="6" ht="15" customHeight="1" s="104">
      <c r="A6" s="149">
        <f>'1. بيانات العميل'!A6</f>
        <v/>
      </c>
      <c r="B6" s="156">
        <f>'1. بيانات العميل'!C6</f>
        <v/>
      </c>
      <c r="C6" s="152" t="n">
        <v>4</v>
      </c>
      <c r="D6" s="157" t="n">
        <v>40000</v>
      </c>
      <c r="E6" s="152" t="n">
        <v>3</v>
      </c>
      <c r="F6" s="157" t="n">
        <v>30000</v>
      </c>
      <c r="G6" s="152" t="n">
        <v>1</v>
      </c>
      <c r="H6" s="157" t="n">
        <v>10000</v>
      </c>
      <c r="I6" s="152" t="n">
        <v>0</v>
      </c>
      <c r="J6" s="157" t="n">
        <v>0</v>
      </c>
      <c r="K6" s="162">
        <f>IFERROR(C6+E6+G6+I6,0)</f>
        <v/>
      </c>
      <c r="L6" s="158">
        <f>IFERROR(D6+F6+H6+J6,0)</f>
        <v/>
      </c>
      <c r="M6" s="162">
        <f>IF(K6=0,"لا توجد تنفيذات 🟢",IF(OR(K6&gt;8,L6&gt;100000,G6&gt;3),"مرفوض مباشر 🔴",IF(OR(K6&gt;5,L6&gt;50000),"مخاطر عالية 🟠",IF(OR(K6&gt;3,L6&gt;25000),"مخاطر متوسطة 🟡","مخاطر منخفضة 🟢"))))</f>
        <v/>
      </c>
    </row>
    <row r="7" ht="15" customHeight="1" s="104">
      <c r="A7" s="149">
        <f>'1. بيانات العميل'!A7</f>
        <v/>
      </c>
      <c r="B7" s="156">
        <f>'1. بيانات العميل'!C7</f>
        <v/>
      </c>
      <c r="C7" s="152" t="n">
        <v>9</v>
      </c>
      <c r="D7" s="157" t="n">
        <v>120000</v>
      </c>
      <c r="E7" s="152" t="n">
        <v>4</v>
      </c>
      <c r="F7" s="157" t="n">
        <v>40000</v>
      </c>
      <c r="G7" s="152" t="n">
        <v>4</v>
      </c>
      <c r="H7" s="157" t="n">
        <v>50000</v>
      </c>
      <c r="I7" s="152" t="n">
        <v>1</v>
      </c>
      <c r="J7" s="157" t="n">
        <v>30000</v>
      </c>
      <c r="K7" s="162">
        <f>IFERROR(C7+E7+G7+I7,0)</f>
        <v/>
      </c>
      <c r="L7" s="158">
        <f>IFERROR(D7+F7+H7+J7,0)</f>
        <v/>
      </c>
      <c r="M7" s="162">
        <f>IF(K7=0,"لا توجد تنفيذات 🟢",IF(OR(K7&gt;8,L7&gt;100000,G7&gt;3),"مرفوض مباشر 🔴",IF(OR(K7&gt;5,L7&gt;50000),"مخاطر عالية 🟠",IF(OR(K7&gt;3,L7&gt;25000),"مخاطر متوسطة 🟡","مخاطر منخفضة 🟢"))))</f>
        <v/>
      </c>
    </row>
    <row r="8" ht="15" customHeight="1" s="104">
      <c r="A8" s="149">
        <f>'1. بيانات العميل'!A8</f>
        <v/>
      </c>
      <c r="B8" s="156">
        <f>'1. بيانات العميل'!C8</f>
        <v/>
      </c>
      <c r="C8" s="152" t="n">
        <v>1</v>
      </c>
      <c r="D8" s="157" t="n">
        <v>8000</v>
      </c>
      <c r="E8" s="152" t="n">
        <v>0</v>
      </c>
      <c r="F8" s="157" t="n">
        <v>0</v>
      </c>
      <c r="G8" s="152" t="n">
        <v>1</v>
      </c>
      <c r="H8" s="157" t="n">
        <v>8000</v>
      </c>
      <c r="I8" s="152" t="n">
        <v>0</v>
      </c>
      <c r="J8" s="157" t="n">
        <v>0</v>
      </c>
      <c r="K8" s="162">
        <f>IFERROR(C8+E8+G8+I8,0)</f>
        <v/>
      </c>
      <c r="L8" s="158">
        <f>IFERROR(D8+F8+H8+J8,0)</f>
        <v/>
      </c>
      <c r="M8" s="162">
        <f>IF(K8=0,"لا توجد تنفيذات 🟢",IF(OR(K8&gt;8,L8&gt;100000,G8&gt;3),"مرفوض مباشر 🔴",IF(OR(K8&gt;5,L8&gt;50000),"مخاطر عالية 🟠",IF(OR(K8&gt;3,L8&gt;25000),"مخاطر متوسطة 🟡","مخاطر منخفضة 🟢"))))</f>
        <v/>
      </c>
    </row>
    <row r="9" ht="15" customHeight="1" s="104">
      <c r="A9" s="149">
        <f>'1. بيانات العميل'!A9</f>
        <v/>
      </c>
      <c r="B9" s="156">
        <f>'1. بيانات العميل'!C9</f>
        <v/>
      </c>
      <c r="C9" s="152" t="n"/>
      <c r="D9" s="157" t="n"/>
      <c r="E9" s="152" t="n"/>
      <c r="F9" s="157" t="n"/>
      <c r="G9" s="152" t="n"/>
      <c r="H9" s="157" t="n"/>
      <c r="I9" s="152" t="n"/>
      <c r="J9" s="157" t="n"/>
      <c r="K9" s="162">
        <f>IFERROR(C9+E9+G9+I9,0)</f>
        <v/>
      </c>
      <c r="L9" s="158">
        <f>IFERROR(D9+F9+H9+J9,0)</f>
        <v/>
      </c>
      <c r="M9" s="162">
        <f>IF(K9=0,"لا توجد تنفيذات 🟢",IF(OR(K9&gt;8,L9&gt;100000,G9&gt;3),"مرفوض مباشر 🔴",IF(OR(K9&gt;5,L9&gt;50000),"مخاطر عالية 🟠",IF(OR(K9&gt;3,L9&gt;25000),"مخاطر متوسطة 🟡","مخاطر منخفضة 🟢"))))</f>
        <v/>
      </c>
    </row>
    <row r="10" ht="15" customHeight="1" s="104">
      <c r="A10" s="149">
        <f>'1. بيانات العميل'!A10</f>
        <v/>
      </c>
      <c r="B10" s="156">
        <f>'1. بيانات العميل'!C10</f>
        <v/>
      </c>
      <c r="C10" s="152" t="n"/>
      <c r="D10" s="157" t="n"/>
      <c r="E10" s="152" t="n"/>
      <c r="F10" s="157" t="n"/>
      <c r="G10" s="152" t="n"/>
      <c r="H10" s="157" t="n"/>
      <c r="I10" s="152" t="n"/>
      <c r="J10" s="157" t="n"/>
      <c r="K10" s="162">
        <f>IFERROR(C10+E10+G10+I10,0)</f>
        <v/>
      </c>
      <c r="L10" s="158">
        <f>IFERROR(D10+F10+H10+J10,0)</f>
        <v/>
      </c>
      <c r="M10" s="162">
        <f>IF(K10=0,"لا توجد تنفيذات 🟢",IF(OR(K10&gt;8,L10&gt;100000,G10&gt;3),"مرفوض مباشر 🔴",IF(OR(K10&gt;5,L10&gt;50000),"مخاطر عالية 🟠",IF(OR(K10&gt;3,L10&gt;25000),"مخاطر متوسطة 🟡","مخاطر منخفضة 🟢"))))</f>
        <v/>
      </c>
    </row>
    <row r="11" ht="15" customHeight="1" s="104">
      <c r="A11" s="149">
        <f>'1. بيانات العميل'!A11</f>
        <v/>
      </c>
      <c r="B11" s="156">
        <f>'1. بيانات العميل'!C11</f>
        <v/>
      </c>
      <c r="C11" s="152" t="n"/>
      <c r="D11" s="157" t="n"/>
      <c r="E11" s="152" t="n"/>
      <c r="F11" s="157" t="n"/>
      <c r="G11" s="152" t="n"/>
      <c r="H11" s="157" t="n"/>
      <c r="I11" s="152" t="n"/>
      <c r="J11" s="157" t="n"/>
      <c r="K11" s="162">
        <f>IFERROR(C11+E11+G11+I11,0)</f>
        <v/>
      </c>
      <c r="L11" s="158">
        <f>IFERROR(D11+F11+H11+J11,0)</f>
        <v/>
      </c>
      <c r="M11" s="162">
        <f>IF(K11=0,"لا توجد تنفيذات 🟢",IF(OR(K11&gt;8,L11&gt;100000,G11&gt;3),"مرفوض مباشر 🔴",IF(OR(K11&gt;5,L11&gt;50000),"مخاطر عالية 🟠",IF(OR(K11&gt;3,L11&gt;25000),"مخاطر متوسطة 🟡","مخاطر منخفضة 🟢"))))</f>
        <v/>
      </c>
    </row>
    <row r="12" ht="15" customHeight="1" s="104">
      <c r="A12" s="149">
        <f>'1. بيانات العميل'!A12</f>
        <v/>
      </c>
      <c r="B12" s="156">
        <f>'1. بيانات العميل'!C12</f>
        <v/>
      </c>
      <c r="C12" s="152" t="n"/>
      <c r="D12" s="157" t="n"/>
      <c r="E12" s="152" t="n"/>
      <c r="F12" s="157" t="n"/>
      <c r="G12" s="152" t="n"/>
      <c r="H12" s="157" t="n"/>
      <c r="I12" s="152" t="n"/>
      <c r="J12" s="157" t="n"/>
      <c r="K12" s="162">
        <f>IFERROR(C12+E12+G12+I12,0)</f>
        <v/>
      </c>
      <c r="L12" s="158">
        <f>IFERROR(D12+F12+H12+J12,0)</f>
        <v/>
      </c>
      <c r="M12" s="162">
        <f>IF(K12=0,"لا توجد تنفيذات 🟢",IF(OR(K12&gt;8,L12&gt;100000,G12&gt;3),"مرفوض مباشر 🔴",IF(OR(K12&gt;5,L12&gt;50000),"مخاطر عالية 🟠",IF(OR(K12&gt;3,L12&gt;25000),"مخاطر متوسطة 🟡","مخاطر منخفضة 🟢"))))</f>
        <v/>
      </c>
    </row>
    <row r="13" ht="15" customHeight="1" s="104">
      <c r="A13" s="149">
        <f>'1. بيانات العميل'!A13</f>
        <v/>
      </c>
      <c r="B13" s="156">
        <f>'1. بيانات العميل'!C13</f>
        <v/>
      </c>
      <c r="C13" s="152" t="n"/>
      <c r="D13" s="157" t="n"/>
      <c r="E13" s="152" t="n"/>
      <c r="F13" s="157" t="n"/>
      <c r="G13" s="152" t="n"/>
      <c r="H13" s="157" t="n"/>
      <c r="I13" s="152" t="n"/>
      <c r="J13" s="157" t="n"/>
      <c r="K13" s="162">
        <f>IFERROR(C13+E13+G13+I13,0)</f>
        <v/>
      </c>
      <c r="L13" s="158">
        <f>IFERROR(D13+F13+H13+J13,0)</f>
        <v/>
      </c>
      <c r="M13" s="162">
        <f>IF(K13=0,"لا توجد تنفيذات 🟢",IF(OR(K13&gt;8,L13&gt;100000,G13&gt;3),"مرفوض مباشر 🔴",IF(OR(K13&gt;5,L13&gt;50000),"مخاطر عالية 🟠",IF(OR(K13&gt;3,L13&gt;25000),"مخاطر متوسطة 🟡","مخاطر منخفضة 🟢"))))</f>
        <v/>
      </c>
    </row>
    <row r="14" ht="15" customHeight="1" s="104">
      <c r="A14" s="149">
        <f>'1. بيانات العميل'!A14</f>
        <v/>
      </c>
      <c r="B14" s="156">
        <f>'1. بيانات العميل'!C14</f>
        <v/>
      </c>
      <c r="C14" s="152" t="n"/>
      <c r="D14" s="157" t="n"/>
      <c r="E14" s="152" t="n"/>
      <c r="F14" s="157" t="n"/>
      <c r="G14" s="152" t="n"/>
      <c r="H14" s="157" t="n"/>
      <c r="I14" s="152" t="n"/>
      <c r="J14" s="157" t="n"/>
      <c r="K14" s="162">
        <f>IFERROR(C14+E14+G14+I14,0)</f>
        <v/>
      </c>
      <c r="L14" s="158">
        <f>IFERROR(D14+F14+H14+J14,0)</f>
        <v/>
      </c>
      <c r="M14" s="162">
        <f>IF(K14=0,"لا توجد تنفيذات 🟢",IF(OR(K14&gt;8,L14&gt;100000,G14&gt;3),"مرفوض مباشر 🔴",IF(OR(K14&gt;5,L14&gt;50000),"مخاطر عالية 🟠",IF(OR(K14&gt;3,L14&gt;25000),"مخاطر متوسطة 🟡","مخاطر منخفضة 🟢"))))</f>
        <v/>
      </c>
    </row>
    <row r="15" ht="15" customHeight="1" s="104">
      <c r="A15" s="149">
        <f>'1. بيانات العميل'!A15</f>
        <v/>
      </c>
      <c r="B15" s="156">
        <f>'1. بيانات العميل'!C15</f>
        <v/>
      </c>
      <c r="C15" s="152" t="n"/>
      <c r="D15" s="157" t="n"/>
      <c r="E15" s="152" t="n"/>
      <c r="F15" s="157" t="n"/>
      <c r="G15" s="152" t="n"/>
      <c r="H15" s="157" t="n"/>
      <c r="I15" s="152" t="n"/>
      <c r="J15" s="157" t="n"/>
      <c r="K15" s="162">
        <f>IFERROR(C15+E15+G15+I15,0)</f>
        <v/>
      </c>
      <c r="L15" s="158">
        <f>IFERROR(D15+F15+H15+J15,0)</f>
        <v/>
      </c>
      <c r="M15" s="162">
        <f>IF(K15=0,"لا توجد تنفيذات 🟢",IF(OR(K15&gt;8,L15&gt;100000,G15&gt;3),"مرفوض مباشر 🔴",IF(OR(K15&gt;5,L15&gt;50000),"مخاطر عالية 🟠",IF(OR(K15&gt;3,L15&gt;25000),"مخاطر متوسطة 🟡","مخاطر منخفضة 🟢"))))</f>
        <v/>
      </c>
    </row>
    <row r="16" ht="15" customHeight="1" s="104">
      <c r="A16" s="149">
        <f>'1. بيانات العميل'!A16</f>
        <v/>
      </c>
      <c r="B16" s="156">
        <f>'1. بيانات العميل'!C16</f>
        <v/>
      </c>
      <c r="C16" s="152" t="n"/>
      <c r="D16" s="157" t="n"/>
      <c r="E16" s="152" t="n"/>
      <c r="F16" s="157" t="n"/>
      <c r="G16" s="152" t="n"/>
      <c r="H16" s="157" t="n"/>
      <c r="I16" s="152" t="n"/>
      <c r="J16" s="157" t="n"/>
      <c r="K16" s="162">
        <f>IFERROR(C16+E16+G16+I16,0)</f>
        <v/>
      </c>
      <c r="L16" s="158">
        <f>IFERROR(D16+F16+H16+J16,0)</f>
        <v/>
      </c>
      <c r="M16" s="162">
        <f>IF(K16=0,"لا توجد تنفيذات 🟢",IF(OR(K16&gt;8,L16&gt;100000,G16&gt;3),"مرفوض مباشر 🔴",IF(OR(K16&gt;5,L16&gt;50000),"مخاطر عالية 🟠",IF(OR(K16&gt;3,L16&gt;25000),"مخاطر متوسطة 🟡","مخاطر منخفضة 🟢"))))</f>
        <v/>
      </c>
    </row>
    <row r="17" ht="15" customHeight="1" s="104">
      <c r="A17" s="149">
        <f>'1. بيانات العميل'!A17</f>
        <v/>
      </c>
      <c r="B17" s="156">
        <f>'1. بيانات العميل'!C17</f>
        <v/>
      </c>
      <c r="C17" s="152" t="n"/>
      <c r="D17" s="157" t="n"/>
      <c r="E17" s="152" t="n"/>
      <c r="F17" s="157" t="n"/>
      <c r="G17" s="152" t="n"/>
      <c r="H17" s="157" t="n"/>
      <c r="I17" s="152" t="n"/>
      <c r="J17" s="157" t="n"/>
      <c r="K17" s="162">
        <f>IFERROR(C17+E17+G17+I17,0)</f>
        <v/>
      </c>
      <c r="L17" s="158">
        <f>IFERROR(D17+F17+H17+J17,0)</f>
        <v/>
      </c>
      <c r="M17" s="162">
        <f>IF(K17=0,"لا توجد تنفيذات 🟢",IF(OR(K17&gt;8,L17&gt;100000,G17&gt;3),"مرفوض مباشر 🔴",IF(OR(K17&gt;5,L17&gt;50000),"مخاطر عالية 🟠",IF(OR(K17&gt;3,L17&gt;25000),"مخاطر متوسطة 🟡","مخاطر منخفضة 🟢"))))</f>
        <v/>
      </c>
    </row>
    <row r="18" ht="15" customHeight="1" s="104">
      <c r="A18" s="149">
        <f>'1. بيانات العميل'!A18</f>
        <v/>
      </c>
      <c r="B18" s="156">
        <f>'1. بيانات العميل'!C18</f>
        <v/>
      </c>
      <c r="C18" s="152" t="n"/>
      <c r="D18" s="157" t="n"/>
      <c r="E18" s="152" t="n"/>
      <c r="F18" s="157" t="n"/>
      <c r="G18" s="152" t="n"/>
      <c r="H18" s="157" t="n"/>
      <c r="I18" s="152" t="n"/>
      <c r="J18" s="157" t="n"/>
      <c r="K18" s="162">
        <f>IFERROR(C18+E18+G18+I18,0)</f>
        <v/>
      </c>
      <c r="L18" s="158">
        <f>IFERROR(D18+F18+H18+J18,0)</f>
        <v/>
      </c>
      <c r="M18" s="162">
        <f>IF(K18=0,"لا توجد تنفيذات 🟢",IF(OR(K18&gt;8,L18&gt;100000,G18&gt;3),"مرفوض مباشر 🔴",IF(OR(K18&gt;5,L18&gt;50000),"مخاطر عالية 🟠",IF(OR(K18&gt;3,L18&gt;25000),"مخاطر متوسطة 🟡","مخاطر منخفضة 🟢"))))</f>
        <v/>
      </c>
    </row>
    <row r="19" ht="15" customHeight="1" s="104">
      <c r="A19" s="149">
        <f>'1. بيانات العميل'!A19</f>
        <v/>
      </c>
      <c r="B19" s="156">
        <f>'1. بيانات العميل'!C19</f>
        <v/>
      </c>
      <c r="C19" s="152" t="n"/>
      <c r="D19" s="157" t="n"/>
      <c r="E19" s="152" t="n"/>
      <c r="F19" s="157" t="n"/>
      <c r="G19" s="152" t="n"/>
      <c r="H19" s="157" t="n"/>
      <c r="I19" s="152" t="n"/>
      <c r="J19" s="157" t="n"/>
      <c r="K19" s="162">
        <f>IFERROR(C19+E19+G19+I19,0)</f>
        <v/>
      </c>
      <c r="L19" s="158">
        <f>IFERROR(D19+F19+H19+J19,0)</f>
        <v/>
      </c>
      <c r="M19" s="162">
        <f>IF(K19=0,"لا توجد تنفيذات 🟢",IF(OR(K19&gt;8,L19&gt;100000,G19&gt;3),"مرفوض مباشر 🔴",IF(OR(K19&gt;5,L19&gt;50000),"مخاطر عالية 🟠",IF(OR(K19&gt;3,L19&gt;25000),"مخاطر متوسطة 🟡","مخاطر منخفضة 🟢"))))</f>
        <v/>
      </c>
    </row>
    <row r="20" ht="15" customHeight="1" s="104">
      <c r="A20" s="149">
        <f>'1. بيانات العميل'!A20</f>
        <v/>
      </c>
      <c r="B20" s="156">
        <f>'1. بيانات العميل'!C20</f>
        <v/>
      </c>
      <c r="C20" s="152" t="n"/>
      <c r="D20" s="157" t="n"/>
      <c r="E20" s="152" t="n"/>
      <c r="F20" s="157" t="n"/>
      <c r="G20" s="152" t="n"/>
      <c r="H20" s="157" t="n"/>
      <c r="I20" s="152" t="n"/>
      <c r="J20" s="157" t="n"/>
      <c r="K20" s="162">
        <f>IFERROR(C20+E20+G20+I20,0)</f>
        <v/>
      </c>
      <c r="L20" s="158">
        <f>IFERROR(D20+F20+H20+J20,0)</f>
        <v/>
      </c>
      <c r="M20" s="162">
        <f>IF(K20=0,"لا توجد تنفيذات 🟢",IF(OR(K20&gt;8,L20&gt;100000,G20&gt;3),"مرفوض مباشر 🔴",IF(OR(K20&gt;5,L20&gt;50000),"مخاطر عالية 🟠",IF(OR(K20&gt;3,L20&gt;25000),"مخاطر متوسطة 🟡","مخاطر منخفضة 🟢"))))</f>
        <v/>
      </c>
    </row>
    <row r="21" ht="15" customHeight="1" s="104">
      <c r="A21" s="149">
        <f>'1. بيانات العميل'!A21</f>
        <v/>
      </c>
      <c r="B21" s="156">
        <f>'1. بيانات العميل'!C21</f>
        <v/>
      </c>
      <c r="C21" s="152" t="n"/>
      <c r="D21" s="157" t="n"/>
      <c r="E21" s="152" t="n"/>
      <c r="F21" s="157" t="n"/>
      <c r="G21" s="152" t="n"/>
      <c r="H21" s="157" t="n"/>
      <c r="I21" s="152" t="n"/>
      <c r="J21" s="157" t="n"/>
      <c r="K21" s="162">
        <f>IFERROR(C21+E21+G21+I21,0)</f>
        <v/>
      </c>
      <c r="L21" s="158">
        <f>IFERROR(D21+F21+H21+J21,0)</f>
        <v/>
      </c>
      <c r="M21" s="162">
        <f>IF(K21=0,"لا توجد تنفيذات 🟢",IF(OR(K21&gt;8,L21&gt;100000,G21&gt;3),"مرفوض مباشر 🔴",IF(OR(K21&gt;5,L21&gt;50000),"مخاطر عالية 🟠",IF(OR(K21&gt;3,L21&gt;25000),"مخاطر متوسطة 🟡","مخاطر منخفضة 🟢"))))</f>
        <v/>
      </c>
    </row>
    <row r="22" ht="15" customHeight="1" s="104">
      <c r="A22" s="149">
        <f>'1. بيانات العميل'!A22</f>
        <v/>
      </c>
      <c r="B22" s="156">
        <f>'1. بيانات العميل'!C22</f>
        <v/>
      </c>
      <c r="C22" s="152" t="n"/>
      <c r="D22" s="157" t="n"/>
      <c r="E22" s="152" t="n"/>
      <c r="F22" s="157" t="n"/>
      <c r="G22" s="152" t="n"/>
      <c r="H22" s="157" t="n"/>
      <c r="I22" s="152" t="n"/>
      <c r="J22" s="157" t="n"/>
      <c r="K22" s="162">
        <f>IFERROR(C22+E22+G22+I22,0)</f>
        <v/>
      </c>
      <c r="L22" s="158">
        <f>IFERROR(D22+F22+H22+J22,0)</f>
        <v/>
      </c>
      <c r="M22" s="162">
        <f>IF(K22=0,"لا توجد تنفيذات 🟢",IF(OR(K22&gt;8,L22&gt;100000,G22&gt;3),"مرفوض مباشر 🔴",IF(OR(K22&gt;5,L22&gt;50000),"مخاطر عالية 🟠",IF(OR(K22&gt;3,L22&gt;25000),"مخاطر متوسطة 🟡","مخاطر منخفضة 🟢"))))</f>
        <v/>
      </c>
    </row>
    <row r="23" ht="15" customHeight="1" s="104">
      <c r="A23" s="149">
        <f>'1. بيانات العميل'!A23</f>
        <v/>
      </c>
      <c r="B23" s="156">
        <f>'1. بيانات العميل'!C23</f>
        <v/>
      </c>
      <c r="C23" s="152" t="n"/>
      <c r="D23" s="157" t="n"/>
      <c r="E23" s="152" t="n"/>
      <c r="F23" s="157" t="n"/>
      <c r="G23" s="152" t="n"/>
      <c r="H23" s="157" t="n"/>
      <c r="I23" s="152" t="n"/>
      <c r="J23" s="157" t="n"/>
      <c r="K23" s="162">
        <f>IFERROR(C23+E23+G23+I23,0)</f>
        <v/>
      </c>
      <c r="L23" s="158">
        <f>IFERROR(D23+F23+H23+J23,0)</f>
        <v/>
      </c>
      <c r="M23" s="162">
        <f>IF(K23=0,"لا توجد تنفيذات 🟢",IF(OR(K23&gt;8,L23&gt;100000,G23&gt;3),"مرفوض مباشر 🔴",IF(OR(K23&gt;5,L23&gt;50000),"مخاطر عالية 🟠",IF(OR(K23&gt;3,L23&gt;25000),"مخاطر متوسطة 🟡","مخاطر منخفضة 🟢"))))</f>
        <v/>
      </c>
    </row>
    <row r="24" ht="15" customHeight="1" s="104">
      <c r="A24" s="149">
        <f>'1. بيانات العميل'!A24</f>
        <v/>
      </c>
      <c r="B24" s="156">
        <f>'1. بيانات العميل'!C24</f>
        <v/>
      </c>
      <c r="C24" s="152" t="n"/>
      <c r="D24" s="157" t="n"/>
      <c r="E24" s="152" t="n"/>
      <c r="F24" s="157" t="n"/>
      <c r="G24" s="152" t="n"/>
      <c r="H24" s="157" t="n"/>
      <c r="I24" s="152" t="n"/>
      <c r="J24" s="157" t="n"/>
      <c r="K24" s="162">
        <f>IFERROR(C24+E24+G24+I24,0)</f>
        <v/>
      </c>
      <c r="L24" s="158">
        <f>IFERROR(D24+F24+H24+J24,0)</f>
        <v/>
      </c>
      <c r="M24" s="162">
        <f>IF(K24=0,"لا توجد تنفيذات 🟢",IF(OR(K24&gt;8,L24&gt;100000,G24&gt;3),"مرفوض مباشر 🔴",IF(OR(K24&gt;5,L24&gt;50000),"مخاطر عالية 🟠",IF(OR(K24&gt;3,L24&gt;25000),"مخاطر متوسطة 🟡","مخاطر منخفضة 🟢"))))</f>
        <v/>
      </c>
    </row>
    <row r="25" ht="15" customHeight="1" s="104">
      <c r="A25" s="149">
        <f>'1. بيانات العميل'!A25</f>
        <v/>
      </c>
      <c r="B25" s="156">
        <f>'1. بيانات العميل'!C25</f>
        <v/>
      </c>
      <c r="C25" s="152" t="n"/>
      <c r="D25" s="157" t="n"/>
      <c r="E25" s="152" t="n"/>
      <c r="F25" s="157" t="n"/>
      <c r="G25" s="152" t="n"/>
      <c r="H25" s="157" t="n"/>
      <c r="I25" s="152" t="n"/>
      <c r="J25" s="157" t="n"/>
      <c r="K25" s="162">
        <f>IFERROR(C25+E25+G25+I25,0)</f>
        <v/>
      </c>
      <c r="L25" s="158">
        <f>IFERROR(D25+F25+H25+J25,0)</f>
        <v/>
      </c>
      <c r="M25" s="162">
        <f>IF(K25=0,"لا توجد تنفيذات 🟢",IF(OR(K25&gt;8,L25&gt;100000,G25&gt;3),"مرفوض مباشر 🔴",IF(OR(K25&gt;5,L25&gt;50000),"مخاطر عالية 🟠",IF(OR(K25&gt;3,L25&gt;25000),"مخاطر متوسطة 🟡","مخاطر منخفضة 🟢"))))</f>
        <v/>
      </c>
    </row>
    <row r="26" ht="15" customHeight="1" s="104">
      <c r="A26" s="149">
        <f>'1. بيانات العميل'!A26</f>
        <v/>
      </c>
      <c r="B26" s="156">
        <f>'1. بيانات العميل'!C26</f>
        <v/>
      </c>
      <c r="C26" s="152" t="n"/>
      <c r="D26" s="157" t="n"/>
      <c r="E26" s="152" t="n"/>
      <c r="F26" s="157" t="n"/>
      <c r="G26" s="152" t="n"/>
      <c r="H26" s="157" t="n"/>
      <c r="I26" s="152" t="n"/>
      <c r="J26" s="157" t="n"/>
      <c r="K26" s="162">
        <f>IFERROR(C26+E26+G26+I26,0)</f>
        <v/>
      </c>
      <c r="L26" s="158">
        <f>IFERROR(D26+F26+H26+J26,0)</f>
        <v/>
      </c>
      <c r="M26" s="162">
        <f>IF(K26=0,"لا توجد تنفيذات 🟢",IF(OR(K26&gt;8,L26&gt;100000,G26&gt;3),"مرفوض مباشر 🔴",IF(OR(K26&gt;5,L26&gt;50000),"مخاطر عالية 🟠",IF(OR(K26&gt;3,L26&gt;25000),"مخاطر متوسطة 🟡","مخاطر منخفضة 🟢"))))</f>
        <v/>
      </c>
    </row>
    <row r="27" ht="15" customHeight="1" s="104">
      <c r="A27" s="149">
        <f>'1. بيانات العميل'!A27</f>
        <v/>
      </c>
      <c r="B27" s="156">
        <f>'1. بيانات العميل'!C27</f>
        <v/>
      </c>
      <c r="C27" s="152" t="n"/>
      <c r="D27" s="157" t="n"/>
      <c r="E27" s="152" t="n"/>
      <c r="F27" s="157" t="n"/>
      <c r="G27" s="152" t="n"/>
      <c r="H27" s="157" t="n"/>
      <c r="I27" s="152" t="n"/>
      <c r="J27" s="157" t="n"/>
      <c r="K27" s="162">
        <f>IFERROR(C27+E27+G27+I27,0)</f>
        <v/>
      </c>
      <c r="L27" s="158">
        <f>IFERROR(D27+F27+H27+J27,0)</f>
        <v/>
      </c>
      <c r="M27" s="162">
        <f>IF(K27=0,"لا توجد تنفيذات 🟢",IF(OR(K27&gt;8,L27&gt;100000,G27&gt;3),"مرفوض مباشر 🔴",IF(OR(K27&gt;5,L27&gt;50000),"مخاطر عالية 🟠",IF(OR(K27&gt;3,L27&gt;25000),"مخاطر متوسطة 🟡","مخاطر منخفضة 🟢"))))</f>
        <v/>
      </c>
    </row>
    <row r="28" ht="15" customHeight="1" s="104">
      <c r="A28" s="149">
        <f>'1. بيانات العميل'!A28</f>
        <v/>
      </c>
      <c r="B28" s="156">
        <f>'1. بيانات العميل'!C28</f>
        <v/>
      </c>
      <c r="C28" s="152" t="n"/>
      <c r="D28" s="157" t="n"/>
      <c r="E28" s="152" t="n"/>
      <c r="F28" s="157" t="n"/>
      <c r="G28" s="152" t="n"/>
      <c r="H28" s="157" t="n"/>
      <c r="I28" s="152" t="n"/>
      <c r="J28" s="157" t="n"/>
      <c r="K28" s="162">
        <f>IFERROR(C28+E28+G28+I28,0)</f>
        <v/>
      </c>
      <c r="L28" s="158">
        <f>IFERROR(D28+F28+H28+J28,0)</f>
        <v/>
      </c>
      <c r="M28" s="162">
        <f>IF(K28=0,"لا توجد تنفيذات 🟢",IF(OR(K28&gt;8,L28&gt;100000,G28&gt;3),"مرفوض مباشر 🔴",IF(OR(K28&gt;5,L28&gt;50000),"مخاطر عالية 🟠",IF(OR(K28&gt;3,L28&gt;25000),"مخاطر متوسطة 🟡","مخاطر منخفضة 🟢"))))</f>
        <v/>
      </c>
    </row>
    <row r="29" ht="15" customHeight="1" s="104">
      <c r="A29" s="149">
        <f>'1. بيانات العميل'!A29</f>
        <v/>
      </c>
      <c r="B29" s="156">
        <f>'1. بيانات العميل'!C29</f>
        <v/>
      </c>
      <c r="C29" s="152" t="n"/>
      <c r="D29" s="157" t="n"/>
      <c r="E29" s="152" t="n"/>
      <c r="F29" s="157" t="n"/>
      <c r="G29" s="152" t="n"/>
      <c r="H29" s="157" t="n"/>
      <c r="I29" s="152" t="n"/>
      <c r="J29" s="157" t="n"/>
      <c r="K29" s="162">
        <f>IFERROR(C29+E29+G29+I29,0)</f>
        <v/>
      </c>
      <c r="L29" s="158">
        <f>IFERROR(D29+F29+H29+J29,0)</f>
        <v/>
      </c>
      <c r="M29" s="162">
        <f>IF(K29=0,"لا توجد تنفيذات 🟢",IF(OR(K29&gt;8,L29&gt;100000,G29&gt;3),"مرفوض مباشر 🔴",IF(OR(K29&gt;5,L29&gt;50000),"مخاطر عالية 🟠",IF(OR(K29&gt;3,L29&gt;25000),"مخاطر متوسطة 🟡","مخاطر منخفضة 🟢"))))</f>
        <v/>
      </c>
    </row>
    <row r="30" ht="15" customHeight="1" s="104">
      <c r="A30" s="149">
        <f>'1. بيانات العميل'!A30</f>
        <v/>
      </c>
      <c r="B30" s="156">
        <f>'1. بيانات العميل'!C30</f>
        <v/>
      </c>
      <c r="C30" s="152" t="n"/>
      <c r="D30" s="157" t="n"/>
      <c r="E30" s="152" t="n"/>
      <c r="F30" s="157" t="n"/>
      <c r="G30" s="152" t="n"/>
      <c r="H30" s="157" t="n"/>
      <c r="I30" s="152" t="n"/>
      <c r="J30" s="157" t="n"/>
      <c r="K30" s="162">
        <f>IFERROR(C30+E30+G30+I30,0)</f>
        <v/>
      </c>
      <c r="L30" s="158">
        <f>IFERROR(D30+F30+H30+J30,0)</f>
        <v/>
      </c>
      <c r="M30" s="162">
        <f>IF(K30=0,"لا توجد تنفيذات 🟢",IF(OR(K30&gt;8,L30&gt;100000,G30&gt;3),"مرفوض مباشر 🔴",IF(OR(K30&gt;5,L30&gt;50000),"مخاطر عالية 🟠",IF(OR(K30&gt;3,L30&gt;25000),"مخاطر متوسطة 🟡","مخاطر منخفضة 🟢"))))</f>
        <v/>
      </c>
    </row>
    <row r="31" ht="15" customHeight="1" s="104">
      <c r="A31" s="149">
        <f>'1. بيانات العميل'!A31</f>
        <v/>
      </c>
      <c r="B31" s="156">
        <f>'1. بيانات العميل'!C31</f>
        <v/>
      </c>
      <c r="C31" s="152" t="n"/>
      <c r="D31" s="157" t="n"/>
      <c r="E31" s="152" t="n"/>
      <c r="F31" s="157" t="n"/>
      <c r="G31" s="152" t="n"/>
      <c r="H31" s="157" t="n"/>
      <c r="I31" s="152" t="n"/>
      <c r="J31" s="157" t="n"/>
      <c r="K31" s="162">
        <f>IFERROR(C31+E31+G31+I31,0)</f>
        <v/>
      </c>
      <c r="L31" s="158">
        <f>IFERROR(D31+F31+H31+J31,0)</f>
        <v/>
      </c>
      <c r="M31" s="162">
        <f>IF(K31=0,"لا توجد تنفيذات 🟢",IF(OR(K31&gt;8,L31&gt;100000,G31&gt;3),"مرفوض مباشر 🔴",IF(OR(K31&gt;5,L31&gt;50000),"مخاطر عالية 🟠",IF(OR(K31&gt;3,L31&gt;25000),"مخاطر متوسطة 🟡","مخاطر منخفضة 🟢"))))</f>
        <v/>
      </c>
    </row>
    <row r="32" ht="15" customHeight="1" s="104">
      <c r="A32" s="149">
        <f>'1. بيانات العميل'!A32</f>
        <v/>
      </c>
      <c r="B32" s="156">
        <f>'1. بيانات العميل'!C32</f>
        <v/>
      </c>
      <c r="C32" s="152" t="n"/>
      <c r="D32" s="157" t="n"/>
      <c r="E32" s="152" t="n"/>
      <c r="F32" s="157" t="n"/>
      <c r="G32" s="152" t="n"/>
      <c r="H32" s="157" t="n"/>
      <c r="I32" s="152" t="n"/>
      <c r="J32" s="157" t="n"/>
      <c r="K32" s="162">
        <f>IFERROR(C32+E32+G32+I32,0)</f>
        <v/>
      </c>
      <c r="L32" s="158">
        <f>IFERROR(D32+F32+H32+J32,0)</f>
        <v/>
      </c>
      <c r="M32" s="162">
        <f>IF(K32=0,"لا توجد تنفيذات 🟢",IF(OR(K32&gt;8,L32&gt;100000,G32&gt;3),"مرفوض مباشر 🔴",IF(OR(K32&gt;5,L32&gt;50000),"مخاطر عالية 🟠",IF(OR(K32&gt;3,L32&gt;25000),"مخاطر متوسطة 🟡","مخاطر منخفضة 🟢"))))</f>
        <v/>
      </c>
    </row>
    <row r="33" ht="15" customHeight="1" s="104">
      <c r="A33" s="149">
        <f>'1. بيانات العميل'!A33</f>
        <v/>
      </c>
      <c r="B33" s="156">
        <f>'1. بيانات العميل'!C33</f>
        <v/>
      </c>
      <c r="C33" s="152" t="n"/>
      <c r="D33" s="157" t="n"/>
      <c r="E33" s="152" t="n"/>
      <c r="F33" s="157" t="n"/>
      <c r="G33" s="152" t="n"/>
      <c r="H33" s="157" t="n"/>
      <c r="I33" s="152" t="n"/>
      <c r="J33" s="157" t="n"/>
      <c r="K33" s="162">
        <f>IFERROR(C33+E33+G33+I33,0)</f>
        <v/>
      </c>
      <c r="L33" s="158">
        <f>IFERROR(D33+F33+H33+J33,0)</f>
        <v/>
      </c>
      <c r="M33" s="162">
        <f>IF(K33=0,"لا توجد تنفيذات 🟢",IF(OR(K33&gt;8,L33&gt;100000,G33&gt;3),"مرفوض مباشر 🔴",IF(OR(K33&gt;5,L33&gt;50000),"مخاطر عالية 🟠",IF(OR(K33&gt;3,L33&gt;25000),"مخاطر متوسطة 🟡","مخاطر منخفضة 🟢"))))</f>
        <v/>
      </c>
    </row>
    <row r="34" ht="15" customHeight="1" s="104">
      <c r="A34" s="149">
        <f>'1. بيانات العميل'!A34</f>
        <v/>
      </c>
      <c r="B34" s="156">
        <f>'1. بيانات العميل'!C34</f>
        <v/>
      </c>
      <c r="C34" s="152" t="n"/>
      <c r="D34" s="157" t="n"/>
      <c r="E34" s="152" t="n"/>
      <c r="F34" s="157" t="n"/>
      <c r="G34" s="152" t="n"/>
      <c r="H34" s="157" t="n"/>
      <c r="I34" s="152" t="n"/>
      <c r="J34" s="157" t="n"/>
      <c r="K34" s="162">
        <f>IFERROR(C34+E34+G34+I34,0)</f>
        <v/>
      </c>
      <c r="L34" s="158">
        <f>IFERROR(D34+F34+H34+J34,0)</f>
        <v/>
      </c>
      <c r="M34" s="162">
        <f>IF(K34=0,"لا توجد تنفيذات 🟢",IF(OR(K34&gt;8,L34&gt;100000,G34&gt;3),"مرفوض مباشر 🔴",IF(OR(K34&gt;5,L34&gt;50000),"مخاطر عالية 🟠",IF(OR(K34&gt;3,L34&gt;25000),"مخاطر متوسطة 🟡","مخاطر منخفضة 🟢"))))</f>
        <v/>
      </c>
    </row>
    <row r="35" ht="15" customHeight="1" s="104">
      <c r="A35" s="149">
        <f>'1. بيانات العميل'!A35</f>
        <v/>
      </c>
      <c r="B35" s="156">
        <f>'1. بيانات العميل'!C35</f>
        <v/>
      </c>
      <c r="C35" s="152" t="n"/>
      <c r="D35" s="157" t="n"/>
      <c r="E35" s="152" t="n"/>
      <c r="F35" s="157" t="n"/>
      <c r="G35" s="152" t="n"/>
      <c r="H35" s="157" t="n"/>
      <c r="I35" s="152" t="n"/>
      <c r="J35" s="157" t="n"/>
      <c r="K35" s="162">
        <f>IFERROR(C35+E35+G35+I35,0)</f>
        <v/>
      </c>
      <c r="L35" s="158">
        <f>IFERROR(D35+F35+H35+J35,0)</f>
        <v/>
      </c>
      <c r="M35" s="162">
        <f>IF(K35=0,"لا توجد تنفيذات 🟢",IF(OR(K35&gt;8,L35&gt;100000,G35&gt;3),"مرفوض مباشر 🔴",IF(OR(K35&gt;5,L35&gt;50000),"مخاطر عالية 🟠",IF(OR(K35&gt;3,L35&gt;25000),"مخاطر متوسطة 🟡","مخاطر منخفضة 🟢"))))</f>
        <v/>
      </c>
    </row>
    <row r="36" ht="15" customHeight="1" s="104">
      <c r="A36" s="149">
        <f>'1. بيانات العميل'!A36</f>
        <v/>
      </c>
      <c r="B36" s="156">
        <f>'1. بيانات العميل'!C36</f>
        <v/>
      </c>
      <c r="C36" s="152" t="n"/>
      <c r="D36" s="157" t="n"/>
      <c r="E36" s="152" t="n"/>
      <c r="F36" s="157" t="n"/>
      <c r="G36" s="152" t="n"/>
      <c r="H36" s="157" t="n"/>
      <c r="I36" s="152" t="n"/>
      <c r="J36" s="157" t="n"/>
      <c r="K36" s="162">
        <f>IFERROR(C36+E36+G36+I36,0)</f>
        <v/>
      </c>
      <c r="L36" s="158">
        <f>IFERROR(D36+F36+H36+J36,0)</f>
        <v/>
      </c>
      <c r="M36" s="162">
        <f>IF(K36=0,"لا توجد تنفيذات 🟢",IF(OR(K36&gt;8,L36&gt;100000,G36&gt;3),"مرفوض مباشر 🔴",IF(OR(K36&gt;5,L36&gt;50000),"مخاطر عالية 🟠",IF(OR(K36&gt;3,L36&gt;25000),"مخاطر متوسطة 🟡","مخاطر منخفضة 🟢"))))</f>
        <v/>
      </c>
    </row>
    <row r="37" ht="15" customHeight="1" s="104">
      <c r="A37" s="149">
        <f>'1. بيانات العميل'!A37</f>
        <v/>
      </c>
      <c r="B37" s="156">
        <f>'1. بيانات العميل'!C37</f>
        <v/>
      </c>
      <c r="C37" s="152" t="n"/>
      <c r="D37" s="157" t="n"/>
      <c r="E37" s="152" t="n"/>
      <c r="F37" s="157" t="n"/>
      <c r="G37" s="152" t="n"/>
      <c r="H37" s="157" t="n"/>
      <c r="I37" s="152" t="n"/>
      <c r="J37" s="157" t="n"/>
      <c r="K37" s="162">
        <f>IFERROR(C37+E37+G37+I37,0)</f>
        <v/>
      </c>
      <c r="L37" s="158">
        <f>IFERROR(D37+F37+H37+J37,0)</f>
        <v/>
      </c>
      <c r="M37" s="162">
        <f>IF(K37=0,"لا توجد تنفيذات 🟢",IF(OR(K37&gt;8,L37&gt;100000,G37&gt;3),"مرفوض مباشر 🔴",IF(OR(K37&gt;5,L37&gt;50000),"مخاطر عالية 🟠",IF(OR(K37&gt;3,L37&gt;25000),"مخاطر متوسطة 🟡","مخاطر منخفضة 🟢"))))</f>
        <v/>
      </c>
    </row>
    <row r="38" ht="15" customHeight="1" s="104">
      <c r="A38" s="149">
        <f>'1. بيانات العميل'!A38</f>
        <v/>
      </c>
      <c r="B38" s="156">
        <f>'1. بيانات العميل'!C38</f>
        <v/>
      </c>
      <c r="C38" s="152" t="n"/>
      <c r="D38" s="157" t="n"/>
      <c r="E38" s="152" t="n"/>
      <c r="F38" s="157" t="n"/>
      <c r="G38" s="152" t="n"/>
      <c r="H38" s="157" t="n"/>
      <c r="I38" s="152" t="n"/>
      <c r="J38" s="157" t="n"/>
      <c r="K38" s="162">
        <f>IFERROR(C38+E38+G38+I38,0)</f>
        <v/>
      </c>
      <c r="L38" s="158">
        <f>IFERROR(D38+F38+H38+J38,0)</f>
        <v/>
      </c>
      <c r="M38" s="162">
        <f>IF(K38=0,"لا توجد تنفيذات 🟢",IF(OR(K38&gt;8,L38&gt;100000,G38&gt;3),"مرفوض مباشر 🔴",IF(OR(K38&gt;5,L38&gt;50000),"مخاطر عالية 🟠",IF(OR(K38&gt;3,L38&gt;25000),"مخاطر متوسطة 🟡","مخاطر منخفضة 🟢"))))</f>
        <v/>
      </c>
    </row>
    <row r="39" ht="15" customHeight="1" s="104">
      <c r="A39" s="149">
        <f>'1. بيانات العميل'!A39</f>
        <v/>
      </c>
      <c r="B39" s="156">
        <f>'1. بيانات العميل'!C39</f>
        <v/>
      </c>
      <c r="C39" s="152" t="n"/>
      <c r="D39" s="157" t="n"/>
      <c r="E39" s="152" t="n"/>
      <c r="F39" s="157" t="n"/>
      <c r="G39" s="152" t="n"/>
      <c r="H39" s="157" t="n"/>
      <c r="I39" s="152" t="n"/>
      <c r="J39" s="157" t="n"/>
      <c r="K39" s="162">
        <f>IFERROR(C39+E39+G39+I39,0)</f>
        <v/>
      </c>
      <c r="L39" s="158">
        <f>IFERROR(D39+F39+H39+J39,0)</f>
        <v/>
      </c>
      <c r="M39" s="162">
        <f>IF(K39=0,"لا توجد تنفيذات 🟢",IF(OR(K39&gt;8,L39&gt;100000,G39&gt;3),"مرفوض مباشر 🔴",IF(OR(K39&gt;5,L39&gt;50000),"مخاطر عالية 🟠",IF(OR(K39&gt;3,L39&gt;25000),"مخاطر متوسطة 🟡","مخاطر منخفضة 🟢"))))</f>
        <v/>
      </c>
    </row>
    <row r="40" ht="15" customHeight="1" s="104">
      <c r="A40" s="149">
        <f>'1. بيانات العميل'!A40</f>
        <v/>
      </c>
      <c r="B40" s="156">
        <f>'1. بيانات العميل'!C40</f>
        <v/>
      </c>
      <c r="C40" s="152" t="n"/>
      <c r="D40" s="157" t="n"/>
      <c r="E40" s="152" t="n"/>
      <c r="F40" s="157" t="n"/>
      <c r="G40" s="152" t="n"/>
      <c r="H40" s="157" t="n"/>
      <c r="I40" s="152" t="n"/>
      <c r="J40" s="157" t="n"/>
      <c r="K40" s="162">
        <f>IFERROR(C40+E40+G40+I40,0)</f>
        <v/>
      </c>
      <c r="L40" s="158">
        <f>IFERROR(D40+F40+H40+J40,0)</f>
        <v/>
      </c>
      <c r="M40" s="162">
        <f>IF(K40=0,"لا توجد تنفيذات 🟢",IF(OR(K40&gt;8,L40&gt;100000,G40&gt;3),"مرفوض مباشر 🔴",IF(OR(K40&gt;5,L40&gt;50000),"مخاطر عالية 🟠",IF(OR(K40&gt;3,L40&gt;25000),"مخاطر متوسطة 🟡","مخاطر منخفضة 🟢"))))</f>
        <v/>
      </c>
    </row>
    <row r="41" ht="15" customHeight="1" s="104">
      <c r="A41" s="149">
        <f>'1. بيانات العميل'!A41</f>
        <v/>
      </c>
      <c r="B41" s="156">
        <f>'1. بيانات العميل'!C41</f>
        <v/>
      </c>
      <c r="C41" s="152" t="n"/>
      <c r="D41" s="157" t="n"/>
      <c r="E41" s="152" t="n"/>
      <c r="F41" s="157" t="n"/>
      <c r="G41" s="152" t="n"/>
      <c r="H41" s="157" t="n"/>
      <c r="I41" s="152" t="n"/>
      <c r="J41" s="157" t="n"/>
      <c r="K41" s="162">
        <f>IFERROR(C41+E41+G41+I41,0)</f>
        <v/>
      </c>
      <c r="L41" s="158">
        <f>IFERROR(D41+F41+H41+J41,0)</f>
        <v/>
      </c>
      <c r="M41" s="162">
        <f>IF(K41=0,"لا توجد تنفيذات 🟢",IF(OR(K41&gt;8,L41&gt;100000,G41&gt;3),"مرفوض مباشر 🔴",IF(OR(K41&gt;5,L41&gt;50000),"مخاطر عالية 🟠",IF(OR(K41&gt;3,L41&gt;25000),"مخاطر متوسطة 🟡","مخاطر منخفضة 🟢"))))</f>
        <v/>
      </c>
    </row>
    <row r="42" ht="15" customHeight="1" s="104">
      <c r="A42" s="149">
        <f>'1. بيانات العميل'!A42</f>
        <v/>
      </c>
      <c r="B42" s="156">
        <f>'1. بيانات العميل'!C42</f>
        <v/>
      </c>
      <c r="C42" s="152" t="n"/>
      <c r="D42" s="157" t="n"/>
      <c r="E42" s="152" t="n"/>
      <c r="F42" s="157" t="n"/>
      <c r="G42" s="152" t="n"/>
      <c r="H42" s="157" t="n"/>
      <c r="I42" s="152" t="n"/>
      <c r="J42" s="157" t="n"/>
      <c r="K42" s="162">
        <f>IFERROR(C42+E42+G42+I42,0)</f>
        <v/>
      </c>
      <c r="L42" s="158">
        <f>IFERROR(D42+F42+H42+J42,0)</f>
        <v/>
      </c>
      <c r="M42" s="162">
        <f>IF(K42=0,"لا توجد تنفيذات 🟢",IF(OR(K42&gt;8,L42&gt;100000,G42&gt;3),"مرفوض مباشر 🔴",IF(OR(K42&gt;5,L42&gt;50000),"مخاطر عالية 🟠",IF(OR(K42&gt;3,L42&gt;25000),"مخاطر متوسطة 🟡","مخاطر منخفضة 🟢"))))</f>
        <v/>
      </c>
    </row>
    <row r="43" ht="15" customHeight="1" s="104">
      <c r="A43" s="149">
        <f>'1. بيانات العميل'!A43</f>
        <v/>
      </c>
      <c r="B43" s="156">
        <f>'1. بيانات العميل'!C43</f>
        <v/>
      </c>
      <c r="C43" s="152" t="n"/>
      <c r="D43" s="157" t="n"/>
      <c r="E43" s="152" t="n"/>
      <c r="F43" s="157" t="n"/>
      <c r="G43" s="152" t="n"/>
      <c r="H43" s="157" t="n"/>
      <c r="I43" s="152" t="n"/>
      <c r="J43" s="157" t="n"/>
      <c r="K43" s="162">
        <f>IFERROR(C43+E43+G43+I43,0)</f>
        <v/>
      </c>
      <c r="L43" s="158">
        <f>IFERROR(D43+F43+H43+J43,0)</f>
        <v/>
      </c>
      <c r="M43" s="162">
        <f>IF(K43=0,"لا توجد تنفيذات 🟢",IF(OR(K43&gt;8,L43&gt;100000,G43&gt;3),"مرفوض مباشر 🔴",IF(OR(K43&gt;5,L43&gt;50000),"مخاطر عالية 🟠",IF(OR(K43&gt;3,L43&gt;25000),"مخاطر متوسطة 🟡","مخاطر منخفضة 🟢"))))</f>
        <v/>
      </c>
    </row>
    <row r="44" ht="15" customHeight="1" s="104">
      <c r="A44" s="149">
        <f>'1. بيانات العميل'!A44</f>
        <v/>
      </c>
      <c r="B44" s="156">
        <f>'1. بيانات العميل'!C44</f>
        <v/>
      </c>
      <c r="C44" s="152" t="n"/>
      <c r="D44" s="157" t="n"/>
      <c r="E44" s="152" t="n"/>
      <c r="F44" s="157" t="n"/>
      <c r="G44" s="152" t="n"/>
      <c r="H44" s="157" t="n"/>
      <c r="I44" s="152" t="n"/>
      <c r="J44" s="157" t="n"/>
      <c r="K44" s="162">
        <f>IFERROR(C44+E44+G44+I44,0)</f>
        <v/>
      </c>
      <c r="L44" s="158">
        <f>IFERROR(D44+F44+H44+J44,0)</f>
        <v/>
      </c>
      <c r="M44" s="162">
        <f>IF(K44=0,"لا توجد تنفيذات 🟢",IF(OR(K44&gt;8,L44&gt;100000,G44&gt;3),"مرفوض مباشر 🔴",IF(OR(K44&gt;5,L44&gt;50000),"مخاطر عالية 🟠",IF(OR(K44&gt;3,L44&gt;25000),"مخاطر متوسطة 🟡","مخاطر منخفضة 🟢"))))</f>
        <v/>
      </c>
    </row>
    <row r="45" ht="15" customHeight="1" s="104">
      <c r="A45" s="149">
        <f>'1. بيانات العميل'!A45</f>
        <v/>
      </c>
      <c r="B45" s="156">
        <f>'1. بيانات العميل'!C45</f>
        <v/>
      </c>
      <c r="C45" s="152" t="n"/>
      <c r="D45" s="157" t="n"/>
      <c r="E45" s="152" t="n"/>
      <c r="F45" s="157" t="n"/>
      <c r="G45" s="152" t="n"/>
      <c r="H45" s="157" t="n"/>
      <c r="I45" s="152" t="n"/>
      <c r="J45" s="157" t="n"/>
      <c r="K45" s="162">
        <f>IFERROR(C45+E45+G45+I45,0)</f>
        <v/>
      </c>
      <c r="L45" s="158">
        <f>IFERROR(D45+F45+H45+J45,0)</f>
        <v/>
      </c>
      <c r="M45" s="162">
        <f>IF(K45=0,"لا توجد تنفيذات 🟢",IF(OR(K45&gt;8,L45&gt;100000,G45&gt;3),"مرفوض مباشر 🔴",IF(OR(K45&gt;5,L45&gt;50000),"مخاطر عالية 🟠",IF(OR(K45&gt;3,L45&gt;25000),"مخاطر متوسطة 🟡","مخاطر منخفضة 🟢"))))</f>
        <v/>
      </c>
    </row>
    <row r="46" ht="15" customHeight="1" s="104">
      <c r="A46" s="149">
        <f>'1. بيانات العميل'!A46</f>
        <v/>
      </c>
      <c r="B46" s="156">
        <f>'1. بيانات العميل'!C46</f>
        <v/>
      </c>
      <c r="C46" s="152" t="n"/>
      <c r="D46" s="157" t="n"/>
      <c r="E46" s="152" t="n"/>
      <c r="F46" s="157" t="n"/>
      <c r="G46" s="152" t="n"/>
      <c r="H46" s="157" t="n"/>
      <c r="I46" s="152" t="n"/>
      <c r="J46" s="157" t="n"/>
      <c r="K46" s="162">
        <f>IFERROR(C46+E46+G46+I46,0)</f>
        <v/>
      </c>
      <c r="L46" s="158">
        <f>IFERROR(D46+F46+H46+J46,0)</f>
        <v/>
      </c>
      <c r="M46" s="162">
        <f>IF(K46=0,"لا توجد تنفيذات 🟢",IF(OR(K46&gt;8,L46&gt;100000,G46&gt;3),"مرفوض مباشر 🔴",IF(OR(K46&gt;5,L46&gt;50000),"مخاطر عالية 🟠",IF(OR(K46&gt;3,L46&gt;25000),"مخاطر متوسطة 🟡","مخاطر منخفضة 🟢"))))</f>
        <v/>
      </c>
    </row>
    <row r="47" ht="15" customHeight="1" s="104">
      <c r="A47" s="149">
        <f>'1. بيانات العميل'!A47</f>
        <v/>
      </c>
      <c r="B47" s="156">
        <f>'1. بيانات العميل'!C47</f>
        <v/>
      </c>
      <c r="C47" s="152" t="n"/>
      <c r="D47" s="157" t="n"/>
      <c r="E47" s="152" t="n"/>
      <c r="F47" s="157" t="n"/>
      <c r="G47" s="152" t="n"/>
      <c r="H47" s="157" t="n"/>
      <c r="I47" s="152" t="n"/>
      <c r="J47" s="157" t="n"/>
      <c r="K47" s="162">
        <f>IFERROR(C47+E47+G47+I47,0)</f>
        <v/>
      </c>
      <c r="L47" s="158">
        <f>IFERROR(D47+F47+H47+J47,0)</f>
        <v/>
      </c>
      <c r="M47" s="162">
        <f>IF(K47=0,"لا توجد تنفيذات 🟢",IF(OR(K47&gt;8,L47&gt;100000,G47&gt;3),"مرفوض مباشر 🔴",IF(OR(K47&gt;5,L47&gt;50000),"مخاطر عالية 🟠",IF(OR(K47&gt;3,L47&gt;25000),"مخاطر متوسطة 🟡","مخاطر منخفضة 🟢"))))</f>
        <v/>
      </c>
    </row>
    <row r="48" ht="15" customHeight="1" s="104">
      <c r="A48" s="149">
        <f>'1. بيانات العميل'!A48</f>
        <v/>
      </c>
      <c r="B48" s="156">
        <f>'1. بيانات العميل'!C48</f>
        <v/>
      </c>
      <c r="C48" s="152" t="n"/>
      <c r="D48" s="157" t="n"/>
      <c r="E48" s="152" t="n"/>
      <c r="F48" s="157" t="n"/>
      <c r="G48" s="152" t="n"/>
      <c r="H48" s="157" t="n"/>
      <c r="I48" s="152" t="n"/>
      <c r="J48" s="157" t="n"/>
      <c r="K48" s="162">
        <f>IFERROR(C48+E48+G48+I48,0)</f>
        <v/>
      </c>
      <c r="L48" s="158">
        <f>IFERROR(D48+F48+H48+J48,0)</f>
        <v/>
      </c>
      <c r="M48" s="162">
        <f>IF(K48=0,"لا توجد تنفيذات 🟢",IF(OR(K48&gt;8,L48&gt;100000,G48&gt;3),"مرفوض مباشر 🔴",IF(OR(K48&gt;5,L48&gt;50000),"مخاطر عالية 🟠",IF(OR(K48&gt;3,L48&gt;25000),"مخاطر متوسطة 🟡","مخاطر منخفضة 🟢"))))</f>
        <v/>
      </c>
    </row>
    <row r="49" ht="15" customHeight="1" s="104">
      <c r="A49" s="149">
        <f>'1. بيانات العميل'!A49</f>
        <v/>
      </c>
      <c r="B49" s="156">
        <f>'1. بيانات العميل'!C49</f>
        <v/>
      </c>
      <c r="C49" s="152" t="n"/>
      <c r="D49" s="157" t="n"/>
      <c r="E49" s="152" t="n"/>
      <c r="F49" s="157" t="n"/>
      <c r="G49" s="152" t="n"/>
      <c r="H49" s="157" t="n"/>
      <c r="I49" s="152" t="n"/>
      <c r="J49" s="157" t="n"/>
      <c r="K49" s="162">
        <f>IFERROR(C49+E49+G49+I49,0)</f>
        <v/>
      </c>
      <c r="L49" s="158">
        <f>IFERROR(D49+F49+H49+J49,0)</f>
        <v/>
      </c>
      <c r="M49" s="162">
        <f>IF(K49=0,"لا توجد تنفيذات 🟢",IF(OR(K49&gt;8,L49&gt;100000,G49&gt;3),"مرفوض مباشر 🔴",IF(OR(K49&gt;5,L49&gt;50000),"مخاطر عالية 🟠",IF(OR(K49&gt;3,L49&gt;25000),"مخاطر متوسطة 🟡","مخاطر منخفضة 🟢"))))</f>
        <v/>
      </c>
    </row>
    <row r="50" ht="15" customHeight="1" s="104">
      <c r="A50" s="149">
        <f>'1. بيانات العميل'!A50</f>
        <v/>
      </c>
      <c r="B50" s="156">
        <f>'1. بيانات العميل'!C50</f>
        <v/>
      </c>
      <c r="C50" s="152" t="n"/>
      <c r="D50" s="157" t="n"/>
      <c r="E50" s="152" t="n"/>
      <c r="F50" s="157" t="n"/>
      <c r="G50" s="152" t="n"/>
      <c r="H50" s="157" t="n"/>
      <c r="I50" s="152" t="n"/>
      <c r="J50" s="157" t="n"/>
      <c r="K50" s="162">
        <f>IFERROR(C50+E50+G50+I50,0)</f>
        <v/>
      </c>
      <c r="L50" s="158">
        <f>IFERROR(D50+F50+H50+J50,0)</f>
        <v/>
      </c>
      <c r="M50" s="162">
        <f>IF(K50=0,"لا توجد تنفيذات 🟢",IF(OR(K50&gt;8,L50&gt;100000,G50&gt;3),"مرفوض مباشر 🔴",IF(OR(K50&gt;5,L50&gt;50000),"مخاطر عالية 🟠",IF(OR(K50&gt;3,L50&gt;25000),"مخاطر متوسطة 🟡","مخاطر منخفضة 🟢"))))</f>
        <v/>
      </c>
    </row>
    <row r="51" ht="15" customHeight="1" s="104">
      <c r="A51" s="149">
        <f>'1. بيانات العميل'!A51</f>
        <v/>
      </c>
      <c r="B51" s="156">
        <f>'1. بيانات العميل'!C51</f>
        <v/>
      </c>
      <c r="C51" s="152" t="n"/>
      <c r="D51" s="157" t="n"/>
      <c r="E51" s="152" t="n"/>
      <c r="F51" s="157" t="n"/>
      <c r="G51" s="152" t="n"/>
      <c r="H51" s="157" t="n"/>
      <c r="I51" s="152" t="n"/>
      <c r="J51" s="157" t="n"/>
      <c r="K51" s="162">
        <f>IFERROR(C51+E51+G51+I51,0)</f>
        <v/>
      </c>
      <c r="L51" s="158">
        <f>IFERROR(D51+F51+H51+J51,0)</f>
        <v/>
      </c>
      <c r="M51" s="162">
        <f>IF(K51=0,"لا توجد تنفيذات 🟢",IF(OR(K51&gt;8,L51&gt;100000,G51&gt;3),"مرفوض مباشر 🔴",IF(OR(K51&gt;5,L51&gt;50000),"مخاطر عالية 🟠",IF(OR(K51&gt;3,L51&gt;25000),"مخاطر متوسطة 🟡","مخاطر منخفضة 🟢"))))</f>
        <v/>
      </c>
    </row>
    <row r="52" ht="15" customHeight="1" s="104">
      <c r="A52" s="149">
        <f>'1. بيانات العميل'!A52</f>
        <v/>
      </c>
      <c r="B52" s="156">
        <f>'1. بيانات العميل'!C52</f>
        <v/>
      </c>
      <c r="C52" s="152" t="n"/>
      <c r="D52" s="157" t="n"/>
      <c r="E52" s="152" t="n"/>
      <c r="F52" s="157" t="n"/>
      <c r="G52" s="152" t="n"/>
      <c r="H52" s="157" t="n"/>
      <c r="I52" s="152" t="n"/>
      <c r="J52" s="157" t="n"/>
      <c r="K52" s="162">
        <f>IFERROR(C52+E52+G52+I52,0)</f>
        <v/>
      </c>
      <c r="L52" s="158">
        <f>IFERROR(D52+F52+H52+J52,0)</f>
        <v/>
      </c>
      <c r="M52" s="162">
        <f>IF(K52=0,"لا توجد تنفيذات 🟢",IF(OR(K52&gt;8,L52&gt;100000,G52&gt;3),"مرفوض مباشر 🔴",IF(OR(K52&gt;5,L52&gt;50000),"مخاطر عالية 🟠",IF(OR(K52&gt;3,L52&gt;25000),"مخاطر متوسطة 🟡","مخاطر منخفضة 🟢"))))</f>
        <v/>
      </c>
    </row>
    <row r="53" ht="15" customHeight="1" s="104">
      <c r="A53" s="149">
        <f>'1. بيانات العميل'!A53</f>
        <v/>
      </c>
      <c r="B53" s="156">
        <f>'1. بيانات العميل'!C53</f>
        <v/>
      </c>
      <c r="C53" s="152" t="n"/>
      <c r="D53" s="157" t="n"/>
      <c r="E53" s="152" t="n"/>
      <c r="F53" s="157" t="n"/>
      <c r="G53" s="152" t="n"/>
      <c r="H53" s="157" t="n"/>
      <c r="I53" s="152" t="n"/>
      <c r="J53" s="157" t="n"/>
      <c r="K53" s="162">
        <f>IFERROR(C53+E53+G53+I53,0)</f>
        <v/>
      </c>
      <c r="L53" s="158">
        <f>IFERROR(D53+F53+H53+J53,0)</f>
        <v/>
      </c>
      <c r="M53" s="162">
        <f>IF(K53=0,"لا توجد تنفيذات 🟢",IF(OR(K53&gt;8,L53&gt;100000,G53&gt;3),"مرفوض مباشر 🔴",IF(OR(K53&gt;5,L53&gt;50000),"مخاطر عالية 🟠",IF(OR(K53&gt;3,L53&gt;25000),"مخاطر متوسطة 🟡","مخاطر منخفضة 🟢"))))</f>
        <v/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S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28" customWidth="1" style="103" min="2" max="2"/>
    <col width="10" customWidth="1" style="103" min="3" max="3"/>
    <col width="12" customWidth="1" style="103" min="4" max="5"/>
    <col width="14" customWidth="1" style="103" min="6" max="6"/>
    <col width="10" customWidth="1" style="103" min="7" max="7"/>
    <col width="12" customWidth="1" style="103" min="8" max="8"/>
    <col width="10" customWidth="1" style="103" min="9" max="9"/>
    <col width="14" customWidth="1" style="103" min="10" max="10"/>
    <col width="12" customWidth="1" style="103" min="11" max="11"/>
    <col width="16" customWidth="1" style="103" min="12" max="12"/>
    <col width="14" customWidth="1" style="103" min="13" max="16"/>
    <col width="10" customWidth="1" style="103" min="17" max="17"/>
    <col width="12" customWidth="1" style="103" min="18" max="18"/>
    <col width="26" customWidth="1" style="103" min="19" max="19"/>
  </cols>
  <sheetData>
    <row r="1" ht="49.5" customHeight="1" s="104">
      <c r="A1" s="163" t="inlineStr">
        <is>
          <t>🔬  محرك المخاطر والتقييم الائتماني - Risk Engine &amp; Credit Scoring</t>
        </is>
      </c>
    </row>
    <row r="2" ht="18" customHeight="1" s="104">
      <c r="A2" s="148" t="inlineStr">
        <is>
          <t>⚡ النقاط الكاملة = 105 | سياسة الرفض المباشر: تعثر / إيقاف خدمات / حجز راتب / أكثر من 8 تنفيذات / سمة &lt; 550 / استقطاع &gt; 70%</t>
        </is>
      </c>
    </row>
    <row r="3" ht="39.75" customHeight="1" s="104">
      <c r="A3" s="137" t="inlineStr">
        <is>
          <t>رقم
الملف</t>
        </is>
      </c>
      <c r="B3" s="137" t="inlineStr">
        <is>
          <t>اسم العميل</t>
        </is>
      </c>
      <c r="C3" s="137" t="inlineStr">
        <is>
          <t>درجة
سمة</t>
        </is>
      </c>
      <c r="D3" s="137" t="inlineStr">
        <is>
          <t>نقاط سمة
(25)</t>
        </is>
      </c>
      <c r="E3" s="137" t="inlineStr">
        <is>
          <t>نسبة
الاستقطاع</t>
        </is>
      </c>
      <c r="F3" s="137" t="inlineStr">
        <is>
          <t>نقاط استقطاع
(25)</t>
        </is>
      </c>
      <c r="G3" s="137" t="inlineStr">
        <is>
          <t>تعثر
قائم</t>
        </is>
      </c>
      <c r="H3" s="137" t="inlineStr">
        <is>
          <t>إيقاف
خدمات</t>
        </is>
      </c>
      <c r="I3" s="137" t="inlineStr">
        <is>
          <t>حجز
راتب</t>
        </is>
      </c>
      <c r="J3" s="137" t="inlineStr">
        <is>
          <t>نقاط
التعثرات(20)</t>
        </is>
      </c>
      <c r="K3" s="137" t="inlineStr">
        <is>
          <t>ع.
التنفيذات</t>
        </is>
      </c>
      <c r="L3" s="137" t="inlineStr">
        <is>
          <t>مبلغ
التنفيذات</t>
        </is>
      </c>
      <c r="M3" s="137" t="inlineStr">
        <is>
          <t>نقاط
تنفيذات(20)</t>
        </is>
      </c>
      <c r="N3" s="137" t="inlineStr">
        <is>
          <t>نوع جهة
العمل</t>
        </is>
      </c>
      <c r="O3" s="137" t="inlineStr">
        <is>
          <t>نقاط جهة
العمل(15)</t>
        </is>
      </c>
      <c r="P3" s="138" t="inlineStr">
        <is>
          <t>إجمالي
النقاط/105</t>
        </is>
      </c>
      <c r="Q3" s="138" t="inlineStr">
        <is>
          <t>النسبة
%</t>
        </is>
      </c>
      <c r="R3" s="138" t="inlineStr">
        <is>
          <t>التصنيف</t>
        </is>
      </c>
      <c r="S3" s="138" t="inlineStr">
        <is>
          <t>الحالة النهائية</t>
        </is>
      </c>
    </row>
    <row r="4" ht="15" customHeight="1" s="104">
      <c r="A4" s="149">
        <f>'1. بيانات العميل'!A4</f>
        <v/>
      </c>
      <c r="B4" s="156">
        <f>'1. بيانات العميل'!C4</f>
        <v/>
      </c>
      <c r="C4" s="164">
        <f>'1. بيانات العميل'!M4</f>
        <v/>
      </c>
      <c r="D4" s="162">
        <f>IF(C4="","",IF(C4&gt;=750,25,IF(C4&gt;=700,20,IF(C4&gt;=650,15,IF(C4&gt;=600,10,IF(C4&gt;=550,5,0))))))</f>
        <v/>
      </c>
      <c r="E4" s="165">
        <f>'2. الالتزامات'!N4</f>
        <v/>
      </c>
      <c r="F4" s="162">
        <f>IF(E4="","",IF(E4&lt;=0.3,25,IF(E4&lt;=0.4,20,IF(E4&lt;=0.5,15,IF(E4&lt;=0.6,10,IF(E4&lt;=0.7,5,0))))))</f>
        <v/>
      </c>
      <c r="G4" s="164">
        <f>'1. بيانات العميل'!O4</f>
        <v/>
      </c>
      <c r="H4" s="164">
        <f>'1. بيانات العميل'!P4</f>
        <v/>
      </c>
      <c r="I4" s="164">
        <f>'1. بيانات العميل'!Q4</f>
        <v/>
      </c>
      <c r="J4" s="162">
        <f>IF(OR(G4="نعم",H4="نعم",I4="نعم"),0,20)</f>
        <v/>
      </c>
      <c r="K4" s="164">
        <f>'3. التنفيذات'!K4</f>
        <v/>
      </c>
      <c r="L4" s="159">
        <f>'3. التنفيذات'!L4</f>
        <v/>
      </c>
      <c r="M4" s="162">
        <f>IF(K4=0,20,IF(OR(K4&gt;8,L4&gt;100000),0,IF(OR(K4&gt;5,L4&gt;50000),5,IF(OR(K4&gt;3,L4&gt;25000),10,15))))</f>
        <v/>
      </c>
      <c r="N4" s="164">
        <f>'1. بيانات العميل'!H4</f>
        <v/>
      </c>
      <c r="O4" s="162">
        <f>IF(N4="حكومي",15,IF(N4="شبه حكومي",10,IF(N4="خاص كبير",8,IF(N4="متقاعد",5,5))))</f>
        <v/>
      </c>
      <c r="P4" s="166">
        <f>IFERROR(D4+F4+J4+M4+O4,0)</f>
        <v/>
      </c>
      <c r="Q4" s="167">
        <f>IFERROR(P4/105,0)</f>
        <v/>
      </c>
      <c r="R4" s="168">
        <f>IF(P4="","",IF(P4&gt;=85,"A",IF(P4&gt;=70,"B",IF(P4&gt;=55,"C","D"))))</f>
        <v/>
      </c>
      <c r="S4" s="162">
        <f>IF(B4="","",IF(OR(G4="نعم",H4="نعم",I4="نعم",K4&gt;8,L4&gt;100000,'3. التنفيذات'!G4&gt;3,C4&lt;550,E4&gt;0.7),"🔴 مرفوض - سياسة مباشرة",IF(R4="A","🟢 مؤهل",IF(R4="B","🟡 مؤهل بتحفظ",IF(R4="C","🟠 يحتاج استثناء","🔴 مرفوض")))))</f>
        <v/>
      </c>
    </row>
    <row r="5" ht="15" customHeight="1" s="104">
      <c r="A5" s="149">
        <f>'1. بيانات العميل'!A5</f>
        <v/>
      </c>
      <c r="B5" s="156">
        <f>'1. بيانات العميل'!C5</f>
        <v/>
      </c>
      <c r="C5" s="164">
        <f>'1. بيانات العميل'!M5</f>
        <v/>
      </c>
      <c r="D5" s="162">
        <f>IF(C5="","",IF(C5&gt;=750,25,IF(C5&gt;=700,20,IF(C5&gt;=650,15,IF(C5&gt;=600,10,IF(C5&gt;=550,5,0))))))</f>
        <v/>
      </c>
      <c r="E5" s="165">
        <f>'2. الالتزامات'!N5</f>
        <v/>
      </c>
      <c r="F5" s="162">
        <f>IF(E5="","",IF(E5&lt;=0.3,25,IF(E5&lt;=0.4,20,IF(E5&lt;=0.5,15,IF(E5&lt;=0.6,10,IF(E5&lt;=0.7,5,0))))))</f>
        <v/>
      </c>
      <c r="G5" s="164">
        <f>'1. بيانات العميل'!O5</f>
        <v/>
      </c>
      <c r="H5" s="164">
        <f>'1. بيانات العميل'!P5</f>
        <v/>
      </c>
      <c r="I5" s="164">
        <f>'1. بيانات العميل'!Q5</f>
        <v/>
      </c>
      <c r="J5" s="162">
        <f>IF(OR(G5="نعم",H5="نعم",I5="نعم"),0,20)</f>
        <v/>
      </c>
      <c r="K5" s="164">
        <f>'3. التنفيذات'!K5</f>
        <v/>
      </c>
      <c r="L5" s="159">
        <f>'3. التنفيذات'!L5</f>
        <v/>
      </c>
      <c r="M5" s="162">
        <f>IF(K5=0,20,IF(OR(K5&gt;8,L5&gt;100000),0,IF(OR(K5&gt;5,L5&gt;50000),5,IF(OR(K5&gt;3,L5&gt;25000),10,15))))</f>
        <v/>
      </c>
      <c r="N5" s="164">
        <f>'1. بيانات العميل'!H5</f>
        <v/>
      </c>
      <c r="O5" s="162">
        <f>IF(N5="حكومي",15,IF(N5="شبه حكومي",10,IF(N5="خاص كبير",8,IF(N5="متقاعد",5,5))))</f>
        <v/>
      </c>
      <c r="P5" s="166">
        <f>IFERROR(D5+F5+J5+M5+O5,0)</f>
        <v/>
      </c>
      <c r="Q5" s="167">
        <f>IFERROR(P5/105,0)</f>
        <v/>
      </c>
      <c r="R5" s="168">
        <f>IF(P5="","",IF(P5&gt;=85,"A",IF(P5&gt;=70,"B",IF(P5&gt;=55,"C","D"))))</f>
        <v/>
      </c>
      <c r="S5" s="162">
        <f>IF(B5="","",IF(OR(G5="نعم",H5="نعم",I5="نعم",K5&gt;8,L5&gt;100000,'3. التنفيذات'!G5&gt;3,C5&lt;550,E5&gt;0.7),"🔴 مرفوض - سياسة مباشرة",IF(R5="A","🟢 مؤهل",IF(R5="B","🟡 مؤهل بتحفظ",IF(R5="C","🟠 يحتاج استثناء","🔴 مرفوض")))))</f>
        <v/>
      </c>
    </row>
    <row r="6" ht="15" customHeight="1" s="104">
      <c r="A6" s="149">
        <f>'1. بيانات العميل'!A6</f>
        <v/>
      </c>
      <c r="B6" s="156">
        <f>'1. بيانات العميل'!C6</f>
        <v/>
      </c>
      <c r="C6" s="164">
        <f>'1. بيانات العميل'!M6</f>
        <v/>
      </c>
      <c r="D6" s="162">
        <f>IF(C6="","",IF(C6&gt;=750,25,IF(C6&gt;=700,20,IF(C6&gt;=650,15,IF(C6&gt;=600,10,IF(C6&gt;=550,5,0))))))</f>
        <v/>
      </c>
      <c r="E6" s="165">
        <f>'2. الالتزامات'!N6</f>
        <v/>
      </c>
      <c r="F6" s="162">
        <f>IF(E6="","",IF(E6&lt;=0.3,25,IF(E6&lt;=0.4,20,IF(E6&lt;=0.5,15,IF(E6&lt;=0.6,10,IF(E6&lt;=0.7,5,0))))))</f>
        <v/>
      </c>
      <c r="G6" s="164">
        <f>'1. بيانات العميل'!O6</f>
        <v/>
      </c>
      <c r="H6" s="164">
        <f>'1. بيانات العميل'!P6</f>
        <v/>
      </c>
      <c r="I6" s="164">
        <f>'1. بيانات العميل'!Q6</f>
        <v/>
      </c>
      <c r="J6" s="162">
        <f>IF(OR(G6="نعم",H6="نعم",I6="نعم"),0,20)</f>
        <v/>
      </c>
      <c r="K6" s="164">
        <f>'3. التنفيذات'!K6</f>
        <v/>
      </c>
      <c r="L6" s="159">
        <f>'3. التنفيذات'!L6</f>
        <v/>
      </c>
      <c r="M6" s="162">
        <f>IF(K6=0,20,IF(OR(K6&gt;8,L6&gt;100000),0,IF(OR(K6&gt;5,L6&gt;50000),5,IF(OR(K6&gt;3,L6&gt;25000),10,15))))</f>
        <v/>
      </c>
      <c r="N6" s="164">
        <f>'1. بيانات العميل'!H6</f>
        <v/>
      </c>
      <c r="O6" s="162">
        <f>IF(N6="حكومي",15,IF(N6="شبه حكومي",10,IF(N6="خاص كبير",8,IF(N6="متقاعد",5,5))))</f>
        <v/>
      </c>
      <c r="P6" s="166">
        <f>IFERROR(D6+F6+J6+M6+O6,0)</f>
        <v/>
      </c>
      <c r="Q6" s="167">
        <f>IFERROR(P6/105,0)</f>
        <v/>
      </c>
      <c r="R6" s="168">
        <f>IF(P6="","",IF(P6&gt;=85,"A",IF(P6&gt;=70,"B",IF(P6&gt;=55,"C","D"))))</f>
        <v/>
      </c>
      <c r="S6" s="162">
        <f>IF(B6="","",IF(OR(G6="نعم",H6="نعم",I6="نعم",K6&gt;8,L6&gt;100000,'3. التنفيذات'!G6&gt;3,C6&lt;550,E6&gt;0.7),"🔴 مرفوض - سياسة مباشرة",IF(R6="A","🟢 مؤهل",IF(R6="B","🟡 مؤهل بتحفظ",IF(R6="C","🟠 يحتاج استثناء","🔴 مرفوض")))))</f>
        <v/>
      </c>
    </row>
    <row r="7" ht="15" customHeight="1" s="104">
      <c r="A7" s="149">
        <f>'1. بيانات العميل'!A7</f>
        <v/>
      </c>
      <c r="B7" s="156">
        <f>'1. بيانات العميل'!C7</f>
        <v/>
      </c>
      <c r="C7" s="164">
        <f>'1. بيانات العميل'!M7</f>
        <v/>
      </c>
      <c r="D7" s="162">
        <f>IF(C7="","",IF(C7&gt;=750,25,IF(C7&gt;=700,20,IF(C7&gt;=650,15,IF(C7&gt;=600,10,IF(C7&gt;=550,5,0))))))</f>
        <v/>
      </c>
      <c r="E7" s="165">
        <f>'2. الالتزامات'!N7</f>
        <v/>
      </c>
      <c r="F7" s="162">
        <f>IF(E7="","",IF(E7&lt;=0.3,25,IF(E7&lt;=0.4,20,IF(E7&lt;=0.5,15,IF(E7&lt;=0.6,10,IF(E7&lt;=0.7,5,0))))))</f>
        <v/>
      </c>
      <c r="G7" s="164">
        <f>'1. بيانات العميل'!O7</f>
        <v/>
      </c>
      <c r="H7" s="164">
        <f>'1. بيانات العميل'!P7</f>
        <v/>
      </c>
      <c r="I7" s="164">
        <f>'1. بيانات العميل'!Q7</f>
        <v/>
      </c>
      <c r="J7" s="162">
        <f>IF(OR(G7="نعم",H7="نعم",I7="نعم"),0,20)</f>
        <v/>
      </c>
      <c r="K7" s="164">
        <f>'3. التنفيذات'!K7</f>
        <v/>
      </c>
      <c r="L7" s="159">
        <f>'3. التنفيذات'!L7</f>
        <v/>
      </c>
      <c r="M7" s="162">
        <f>IF(K7=0,20,IF(OR(K7&gt;8,L7&gt;100000),0,IF(OR(K7&gt;5,L7&gt;50000),5,IF(OR(K7&gt;3,L7&gt;25000),10,15))))</f>
        <v/>
      </c>
      <c r="N7" s="164">
        <f>'1. بيانات العميل'!H7</f>
        <v/>
      </c>
      <c r="O7" s="162">
        <f>IF(N7="حكومي",15,IF(N7="شبه حكومي",10,IF(N7="خاص كبير",8,IF(N7="متقاعد",5,5))))</f>
        <v/>
      </c>
      <c r="P7" s="166">
        <f>IFERROR(D7+F7+J7+M7+O7,0)</f>
        <v/>
      </c>
      <c r="Q7" s="167">
        <f>IFERROR(P7/105,0)</f>
        <v/>
      </c>
      <c r="R7" s="168">
        <f>IF(P7="","",IF(P7&gt;=85,"A",IF(P7&gt;=70,"B",IF(P7&gt;=55,"C","D"))))</f>
        <v/>
      </c>
      <c r="S7" s="162">
        <f>IF(B7="","",IF(OR(G7="نعم",H7="نعم",I7="نعم",K7&gt;8,L7&gt;100000,'3. التنفيذات'!G7&gt;3,C7&lt;550,E7&gt;0.7),"🔴 مرفوض - سياسة مباشرة",IF(R7="A","🟢 مؤهل",IF(R7="B","🟡 مؤهل بتحفظ",IF(R7="C","🟠 يحتاج استثناء","🔴 مرفوض")))))</f>
        <v/>
      </c>
    </row>
    <row r="8" ht="15" customHeight="1" s="104">
      <c r="A8" s="149">
        <f>'1. بيانات العميل'!A8</f>
        <v/>
      </c>
      <c r="B8" s="156">
        <f>'1. بيانات العميل'!C8</f>
        <v/>
      </c>
      <c r="C8" s="164">
        <f>'1. بيانات العميل'!M8</f>
        <v/>
      </c>
      <c r="D8" s="162">
        <f>IF(C8="","",IF(C8&gt;=750,25,IF(C8&gt;=700,20,IF(C8&gt;=650,15,IF(C8&gt;=600,10,IF(C8&gt;=550,5,0))))))</f>
        <v/>
      </c>
      <c r="E8" s="165">
        <f>'2. الالتزامات'!N8</f>
        <v/>
      </c>
      <c r="F8" s="162">
        <f>IF(E8="","",IF(E8&lt;=0.3,25,IF(E8&lt;=0.4,20,IF(E8&lt;=0.5,15,IF(E8&lt;=0.6,10,IF(E8&lt;=0.7,5,0))))))</f>
        <v/>
      </c>
      <c r="G8" s="164">
        <f>'1. بيانات العميل'!O8</f>
        <v/>
      </c>
      <c r="H8" s="164">
        <f>'1. بيانات العميل'!P8</f>
        <v/>
      </c>
      <c r="I8" s="164">
        <f>'1. بيانات العميل'!Q8</f>
        <v/>
      </c>
      <c r="J8" s="162">
        <f>IF(OR(G8="نعم",H8="نعم",I8="نعم"),0,20)</f>
        <v/>
      </c>
      <c r="K8" s="164">
        <f>'3. التنفيذات'!K8</f>
        <v/>
      </c>
      <c r="L8" s="159">
        <f>'3. التنفيذات'!L8</f>
        <v/>
      </c>
      <c r="M8" s="162">
        <f>IF(K8=0,20,IF(OR(K8&gt;8,L8&gt;100000),0,IF(OR(K8&gt;5,L8&gt;50000),5,IF(OR(K8&gt;3,L8&gt;25000),10,15))))</f>
        <v/>
      </c>
      <c r="N8" s="164">
        <f>'1. بيانات العميل'!H8</f>
        <v/>
      </c>
      <c r="O8" s="162">
        <f>IF(N8="حكومي",15,IF(N8="شبه حكومي",10,IF(N8="خاص كبير",8,IF(N8="متقاعد",5,5))))</f>
        <v/>
      </c>
      <c r="P8" s="166">
        <f>IFERROR(D8+F8+J8+M8+O8,0)</f>
        <v/>
      </c>
      <c r="Q8" s="167">
        <f>IFERROR(P8/105,0)</f>
        <v/>
      </c>
      <c r="R8" s="168">
        <f>IF(P8="","",IF(P8&gt;=85,"A",IF(P8&gt;=70,"B",IF(P8&gt;=55,"C","D"))))</f>
        <v/>
      </c>
      <c r="S8" s="162">
        <f>IF(B8="","",IF(OR(G8="نعم",H8="نعم",I8="نعم",K8&gt;8,L8&gt;100000,'3. التنفيذات'!G8&gt;3,C8&lt;550,E8&gt;0.7),"🔴 مرفوض - سياسة مباشرة",IF(R8="A","🟢 مؤهل",IF(R8="B","🟡 مؤهل بتحفظ",IF(R8="C","🟠 يحتاج استثناء","🔴 مرفوض")))))</f>
        <v/>
      </c>
    </row>
    <row r="9" ht="15" customHeight="1" s="104">
      <c r="A9" s="149">
        <f>'1. بيانات العميل'!A9</f>
        <v/>
      </c>
      <c r="B9" s="156">
        <f>'1. بيانات العميل'!C9</f>
        <v/>
      </c>
      <c r="C9" s="164">
        <f>'1. بيانات العميل'!M9</f>
        <v/>
      </c>
      <c r="D9" s="162">
        <f>IF(C9="","",IF(C9&gt;=750,25,IF(C9&gt;=700,20,IF(C9&gt;=650,15,IF(C9&gt;=600,10,IF(C9&gt;=550,5,0))))))</f>
        <v/>
      </c>
      <c r="E9" s="165">
        <f>'2. الالتزامات'!N9</f>
        <v/>
      </c>
      <c r="F9" s="162">
        <f>IF(E9="","",IF(E9&lt;=0.3,25,IF(E9&lt;=0.4,20,IF(E9&lt;=0.5,15,IF(E9&lt;=0.6,10,IF(E9&lt;=0.7,5,0))))))</f>
        <v/>
      </c>
      <c r="G9" s="164">
        <f>'1. بيانات العميل'!O9</f>
        <v/>
      </c>
      <c r="H9" s="164">
        <f>'1. بيانات العميل'!P9</f>
        <v/>
      </c>
      <c r="I9" s="164">
        <f>'1. بيانات العميل'!Q9</f>
        <v/>
      </c>
      <c r="J9" s="162">
        <f>IF(OR(G9="نعم",H9="نعم",I9="نعم"),0,20)</f>
        <v/>
      </c>
      <c r="K9" s="164">
        <f>'3. التنفيذات'!K9</f>
        <v/>
      </c>
      <c r="L9" s="159">
        <f>'3. التنفيذات'!L9</f>
        <v/>
      </c>
      <c r="M9" s="162">
        <f>IF(K9=0,20,IF(OR(K9&gt;8,L9&gt;100000),0,IF(OR(K9&gt;5,L9&gt;50000),5,IF(OR(K9&gt;3,L9&gt;25000),10,15))))</f>
        <v/>
      </c>
      <c r="N9" s="164">
        <f>'1. بيانات العميل'!H9</f>
        <v/>
      </c>
      <c r="O9" s="162">
        <f>IF(N9="حكومي",15,IF(N9="شبه حكومي",10,IF(N9="خاص كبير",8,IF(N9="متقاعد",5,5))))</f>
        <v/>
      </c>
      <c r="P9" s="166">
        <f>IFERROR(D9+F9+J9+M9+O9,0)</f>
        <v/>
      </c>
      <c r="Q9" s="167">
        <f>IFERROR(P9/105,0)</f>
        <v/>
      </c>
      <c r="R9" s="168">
        <f>IF(P9="","",IF(P9&gt;=85,"A",IF(P9&gt;=70,"B",IF(P9&gt;=55,"C","D"))))</f>
        <v/>
      </c>
      <c r="S9" s="162">
        <f>IF(B9="","",IF(OR(G9="نعم",H9="نعم",I9="نعم",K9&gt;8,L9&gt;100000,'3. التنفيذات'!G9&gt;3,C9&lt;550,E9&gt;0.7),"🔴 مرفوض - سياسة مباشرة",IF(R9="A","🟢 مؤهل",IF(R9="B","🟡 مؤهل بتحفظ",IF(R9="C","🟠 يحتاج استثناء","🔴 مرفوض")))))</f>
        <v/>
      </c>
    </row>
    <row r="10" ht="15" customHeight="1" s="104">
      <c r="A10" s="149">
        <f>'1. بيانات العميل'!A10</f>
        <v/>
      </c>
      <c r="B10" s="156">
        <f>'1. بيانات العميل'!C10</f>
        <v/>
      </c>
      <c r="C10" s="164">
        <f>'1. بيانات العميل'!M10</f>
        <v/>
      </c>
      <c r="D10" s="162">
        <f>IF(C10="","",IF(C10&gt;=750,25,IF(C10&gt;=700,20,IF(C10&gt;=650,15,IF(C10&gt;=600,10,IF(C10&gt;=550,5,0))))))</f>
        <v/>
      </c>
      <c r="E10" s="165">
        <f>'2. الالتزامات'!N10</f>
        <v/>
      </c>
      <c r="F10" s="162">
        <f>IF(E10="","",IF(E10&lt;=0.3,25,IF(E10&lt;=0.4,20,IF(E10&lt;=0.5,15,IF(E10&lt;=0.6,10,IF(E10&lt;=0.7,5,0))))))</f>
        <v/>
      </c>
      <c r="G10" s="164">
        <f>'1. بيانات العميل'!O10</f>
        <v/>
      </c>
      <c r="H10" s="164">
        <f>'1. بيانات العميل'!P10</f>
        <v/>
      </c>
      <c r="I10" s="164">
        <f>'1. بيانات العميل'!Q10</f>
        <v/>
      </c>
      <c r="J10" s="162">
        <f>IF(OR(G10="نعم",H10="نعم",I10="نعم"),0,20)</f>
        <v/>
      </c>
      <c r="K10" s="164">
        <f>'3. التنفيذات'!K10</f>
        <v/>
      </c>
      <c r="L10" s="159">
        <f>'3. التنفيذات'!L10</f>
        <v/>
      </c>
      <c r="M10" s="162">
        <f>IF(K10=0,20,IF(OR(K10&gt;8,L10&gt;100000),0,IF(OR(K10&gt;5,L10&gt;50000),5,IF(OR(K10&gt;3,L10&gt;25000),10,15))))</f>
        <v/>
      </c>
      <c r="N10" s="164">
        <f>'1. بيانات العميل'!H10</f>
        <v/>
      </c>
      <c r="O10" s="162">
        <f>IF(N10="حكومي",15,IF(N10="شبه حكومي",10,IF(N10="خاص كبير",8,IF(N10="متقاعد",5,5))))</f>
        <v/>
      </c>
      <c r="P10" s="166">
        <f>IFERROR(D10+F10+J10+M10+O10,0)</f>
        <v/>
      </c>
      <c r="Q10" s="167">
        <f>IFERROR(P10/105,0)</f>
        <v/>
      </c>
      <c r="R10" s="168">
        <f>IF(P10="","",IF(P10&gt;=85,"A",IF(P10&gt;=70,"B",IF(P10&gt;=55,"C","D"))))</f>
        <v/>
      </c>
      <c r="S10" s="162">
        <f>IF(B10="","",IF(OR(G10="نعم",H10="نعم",I10="نعم",K10&gt;8,L10&gt;100000,'3. التنفيذات'!G10&gt;3,C10&lt;550,E10&gt;0.7),"🔴 مرفوض - سياسة مباشرة",IF(R10="A","🟢 مؤهل",IF(R10="B","🟡 مؤهل بتحفظ",IF(R10="C","🟠 يحتاج استثناء","🔴 مرفوض")))))</f>
        <v/>
      </c>
    </row>
    <row r="11" ht="15" customHeight="1" s="104">
      <c r="A11" s="149">
        <f>'1. بيانات العميل'!A11</f>
        <v/>
      </c>
      <c r="B11" s="156">
        <f>'1. بيانات العميل'!C11</f>
        <v/>
      </c>
      <c r="C11" s="164">
        <f>'1. بيانات العميل'!M11</f>
        <v/>
      </c>
      <c r="D11" s="162">
        <f>IF(C11="","",IF(C11&gt;=750,25,IF(C11&gt;=700,20,IF(C11&gt;=650,15,IF(C11&gt;=600,10,IF(C11&gt;=550,5,0))))))</f>
        <v/>
      </c>
      <c r="E11" s="165">
        <f>'2. الالتزامات'!N11</f>
        <v/>
      </c>
      <c r="F11" s="162">
        <f>IF(E11="","",IF(E11&lt;=0.3,25,IF(E11&lt;=0.4,20,IF(E11&lt;=0.5,15,IF(E11&lt;=0.6,10,IF(E11&lt;=0.7,5,0))))))</f>
        <v/>
      </c>
      <c r="G11" s="164">
        <f>'1. بيانات العميل'!O11</f>
        <v/>
      </c>
      <c r="H11" s="164">
        <f>'1. بيانات العميل'!P11</f>
        <v/>
      </c>
      <c r="I11" s="164">
        <f>'1. بيانات العميل'!Q11</f>
        <v/>
      </c>
      <c r="J11" s="162">
        <f>IF(OR(G11="نعم",H11="نعم",I11="نعم"),0,20)</f>
        <v/>
      </c>
      <c r="K11" s="164">
        <f>'3. التنفيذات'!K11</f>
        <v/>
      </c>
      <c r="L11" s="159">
        <f>'3. التنفيذات'!L11</f>
        <v/>
      </c>
      <c r="M11" s="162">
        <f>IF(K11=0,20,IF(OR(K11&gt;8,L11&gt;100000),0,IF(OR(K11&gt;5,L11&gt;50000),5,IF(OR(K11&gt;3,L11&gt;25000),10,15))))</f>
        <v/>
      </c>
      <c r="N11" s="164">
        <f>'1. بيانات العميل'!H11</f>
        <v/>
      </c>
      <c r="O11" s="162">
        <f>IF(N11="حكومي",15,IF(N11="شبه حكومي",10,IF(N11="خاص كبير",8,IF(N11="متقاعد",5,5))))</f>
        <v/>
      </c>
      <c r="P11" s="166">
        <f>IFERROR(D11+F11+J11+M11+O11,0)</f>
        <v/>
      </c>
      <c r="Q11" s="167">
        <f>IFERROR(P11/105,0)</f>
        <v/>
      </c>
      <c r="R11" s="168">
        <f>IF(P11="","",IF(P11&gt;=85,"A",IF(P11&gt;=70,"B",IF(P11&gt;=55,"C","D"))))</f>
        <v/>
      </c>
      <c r="S11" s="162">
        <f>IF(B11="","",IF(OR(G11="نعم",H11="نعم",I11="نعم",K11&gt;8,L11&gt;100000,'3. التنفيذات'!G11&gt;3,C11&lt;550,E11&gt;0.7),"🔴 مرفوض - سياسة مباشرة",IF(R11="A","🟢 مؤهل",IF(R11="B","🟡 مؤهل بتحفظ",IF(R11="C","🟠 يحتاج استثناء","🔴 مرفوض")))))</f>
        <v/>
      </c>
    </row>
    <row r="12" ht="15" customHeight="1" s="104">
      <c r="A12" s="149">
        <f>'1. بيانات العميل'!A12</f>
        <v/>
      </c>
      <c r="B12" s="156">
        <f>'1. بيانات العميل'!C12</f>
        <v/>
      </c>
      <c r="C12" s="164">
        <f>'1. بيانات العميل'!M12</f>
        <v/>
      </c>
      <c r="D12" s="162">
        <f>IF(C12="","",IF(C12&gt;=750,25,IF(C12&gt;=700,20,IF(C12&gt;=650,15,IF(C12&gt;=600,10,IF(C12&gt;=550,5,0))))))</f>
        <v/>
      </c>
      <c r="E12" s="165">
        <f>'2. الالتزامات'!N12</f>
        <v/>
      </c>
      <c r="F12" s="162">
        <f>IF(E12="","",IF(E12&lt;=0.3,25,IF(E12&lt;=0.4,20,IF(E12&lt;=0.5,15,IF(E12&lt;=0.6,10,IF(E12&lt;=0.7,5,0))))))</f>
        <v/>
      </c>
      <c r="G12" s="164">
        <f>'1. بيانات العميل'!O12</f>
        <v/>
      </c>
      <c r="H12" s="164">
        <f>'1. بيانات العميل'!P12</f>
        <v/>
      </c>
      <c r="I12" s="164">
        <f>'1. بيانات العميل'!Q12</f>
        <v/>
      </c>
      <c r="J12" s="162">
        <f>IF(OR(G12="نعم",H12="نعم",I12="نعم"),0,20)</f>
        <v/>
      </c>
      <c r="K12" s="164">
        <f>'3. التنفيذات'!K12</f>
        <v/>
      </c>
      <c r="L12" s="159">
        <f>'3. التنفيذات'!L12</f>
        <v/>
      </c>
      <c r="M12" s="162">
        <f>IF(K12=0,20,IF(OR(K12&gt;8,L12&gt;100000),0,IF(OR(K12&gt;5,L12&gt;50000),5,IF(OR(K12&gt;3,L12&gt;25000),10,15))))</f>
        <v/>
      </c>
      <c r="N12" s="164">
        <f>'1. بيانات العميل'!H12</f>
        <v/>
      </c>
      <c r="O12" s="162">
        <f>IF(N12="حكومي",15,IF(N12="شبه حكومي",10,IF(N12="خاص كبير",8,IF(N12="متقاعد",5,5))))</f>
        <v/>
      </c>
      <c r="P12" s="166">
        <f>IFERROR(D12+F12+J12+M12+O12,0)</f>
        <v/>
      </c>
      <c r="Q12" s="167">
        <f>IFERROR(P12/105,0)</f>
        <v/>
      </c>
      <c r="R12" s="168">
        <f>IF(P12="","",IF(P12&gt;=85,"A",IF(P12&gt;=70,"B",IF(P12&gt;=55,"C","D"))))</f>
        <v/>
      </c>
      <c r="S12" s="162">
        <f>IF(B12="","",IF(OR(G12="نعم",H12="نعم",I12="نعم",K12&gt;8,L12&gt;100000,'3. التنفيذات'!G12&gt;3,C12&lt;550,E12&gt;0.7),"🔴 مرفوض - سياسة مباشرة",IF(R12="A","🟢 مؤهل",IF(R12="B","🟡 مؤهل بتحفظ",IF(R12="C","🟠 يحتاج استثناء","🔴 مرفوض")))))</f>
        <v/>
      </c>
    </row>
    <row r="13" ht="15" customHeight="1" s="104">
      <c r="A13" s="149">
        <f>'1. بيانات العميل'!A13</f>
        <v/>
      </c>
      <c r="B13" s="156">
        <f>'1. بيانات العميل'!C13</f>
        <v/>
      </c>
      <c r="C13" s="164">
        <f>'1. بيانات العميل'!M13</f>
        <v/>
      </c>
      <c r="D13" s="162">
        <f>IF(C13="","",IF(C13&gt;=750,25,IF(C13&gt;=700,20,IF(C13&gt;=650,15,IF(C13&gt;=600,10,IF(C13&gt;=550,5,0))))))</f>
        <v/>
      </c>
      <c r="E13" s="165">
        <f>'2. الالتزامات'!N13</f>
        <v/>
      </c>
      <c r="F13" s="162">
        <f>IF(E13="","",IF(E13&lt;=0.3,25,IF(E13&lt;=0.4,20,IF(E13&lt;=0.5,15,IF(E13&lt;=0.6,10,IF(E13&lt;=0.7,5,0))))))</f>
        <v/>
      </c>
      <c r="G13" s="164">
        <f>'1. بيانات العميل'!O13</f>
        <v/>
      </c>
      <c r="H13" s="164">
        <f>'1. بيانات العميل'!P13</f>
        <v/>
      </c>
      <c r="I13" s="164">
        <f>'1. بيانات العميل'!Q13</f>
        <v/>
      </c>
      <c r="J13" s="162">
        <f>IF(OR(G13="نعم",H13="نعم",I13="نعم"),0,20)</f>
        <v/>
      </c>
      <c r="K13" s="164">
        <f>'3. التنفيذات'!K13</f>
        <v/>
      </c>
      <c r="L13" s="159">
        <f>'3. التنفيذات'!L13</f>
        <v/>
      </c>
      <c r="M13" s="162">
        <f>IF(K13=0,20,IF(OR(K13&gt;8,L13&gt;100000),0,IF(OR(K13&gt;5,L13&gt;50000),5,IF(OR(K13&gt;3,L13&gt;25000),10,15))))</f>
        <v/>
      </c>
      <c r="N13" s="164">
        <f>'1. بيانات العميل'!H13</f>
        <v/>
      </c>
      <c r="O13" s="162">
        <f>IF(N13="حكومي",15,IF(N13="شبه حكومي",10,IF(N13="خاص كبير",8,IF(N13="متقاعد",5,5))))</f>
        <v/>
      </c>
      <c r="P13" s="166">
        <f>IFERROR(D13+F13+J13+M13+O13,0)</f>
        <v/>
      </c>
      <c r="Q13" s="167">
        <f>IFERROR(P13/105,0)</f>
        <v/>
      </c>
      <c r="R13" s="168">
        <f>IF(P13="","",IF(P13&gt;=85,"A",IF(P13&gt;=70,"B",IF(P13&gt;=55,"C","D"))))</f>
        <v/>
      </c>
      <c r="S13" s="162">
        <f>IF(B13="","",IF(OR(G13="نعم",H13="نعم",I13="نعم",K13&gt;8,L13&gt;100000,'3. التنفيذات'!G13&gt;3,C13&lt;550,E13&gt;0.7),"🔴 مرفوض - سياسة مباشرة",IF(R13="A","🟢 مؤهل",IF(R13="B","🟡 مؤهل بتحفظ",IF(R13="C","🟠 يحتاج استثناء","🔴 مرفوض")))))</f>
        <v/>
      </c>
    </row>
    <row r="14" ht="15" customHeight="1" s="104">
      <c r="A14" s="149">
        <f>'1. بيانات العميل'!A14</f>
        <v/>
      </c>
      <c r="B14" s="156">
        <f>'1. بيانات العميل'!C14</f>
        <v/>
      </c>
      <c r="C14" s="164">
        <f>'1. بيانات العميل'!M14</f>
        <v/>
      </c>
      <c r="D14" s="162">
        <f>IF(C14="","",IF(C14&gt;=750,25,IF(C14&gt;=700,20,IF(C14&gt;=650,15,IF(C14&gt;=600,10,IF(C14&gt;=550,5,0))))))</f>
        <v/>
      </c>
      <c r="E14" s="165">
        <f>'2. الالتزامات'!N14</f>
        <v/>
      </c>
      <c r="F14" s="162">
        <f>IF(E14="","",IF(E14&lt;=0.3,25,IF(E14&lt;=0.4,20,IF(E14&lt;=0.5,15,IF(E14&lt;=0.6,10,IF(E14&lt;=0.7,5,0))))))</f>
        <v/>
      </c>
      <c r="G14" s="164">
        <f>'1. بيانات العميل'!O14</f>
        <v/>
      </c>
      <c r="H14" s="164">
        <f>'1. بيانات العميل'!P14</f>
        <v/>
      </c>
      <c r="I14" s="164">
        <f>'1. بيانات العميل'!Q14</f>
        <v/>
      </c>
      <c r="J14" s="162">
        <f>IF(OR(G14="نعم",H14="نعم",I14="نعم"),0,20)</f>
        <v/>
      </c>
      <c r="K14" s="164">
        <f>'3. التنفيذات'!K14</f>
        <v/>
      </c>
      <c r="L14" s="159">
        <f>'3. التنفيذات'!L14</f>
        <v/>
      </c>
      <c r="M14" s="162">
        <f>IF(K14=0,20,IF(OR(K14&gt;8,L14&gt;100000),0,IF(OR(K14&gt;5,L14&gt;50000),5,IF(OR(K14&gt;3,L14&gt;25000),10,15))))</f>
        <v/>
      </c>
      <c r="N14" s="164">
        <f>'1. بيانات العميل'!H14</f>
        <v/>
      </c>
      <c r="O14" s="162">
        <f>IF(N14="حكومي",15,IF(N14="شبه حكومي",10,IF(N14="خاص كبير",8,IF(N14="متقاعد",5,5))))</f>
        <v/>
      </c>
      <c r="P14" s="166">
        <f>IFERROR(D14+F14+J14+M14+O14,0)</f>
        <v/>
      </c>
      <c r="Q14" s="167">
        <f>IFERROR(P14/105,0)</f>
        <v/>
      </c>
      <c r="R14" s="168">
        <f>IF(P14="","",IF(P14&gt;=85,"A",IF(P14&gt;=70,"B",IF(P14&gt;=55,"C","D"))))</f>
        <v/>
      </c>
      <c r="S14" s="162">
        <f>IF(B14="","",IF(OR(G14="نعم",H14="نعم",I14="نعم",K14&gt;8,L14&gt;100000,'3. التنفيذات'!G14&gt;3,C14&lt;550,E14&gt;0.7),"🔴 مرفوض - سياسة مباشرة",IF(R14="A","🟢 مؤهل",IF(R14="B","🟡 مؤهل بتحفظ",IF(R14="C","🟠 يحتاج استثناء","🔴 مرفوض")))))</f>
        <v/>
      </c>
    </row>
    <row r="15" ht="15" customHeight="1" s="104">
      <c r="A15" s="149">
        <f>'1. بيانات العميل'!A15</f>
        <v/>
      </c>
      <c r="B15" s="156">
        <f>'1. بيانات العميل'!C15</f>
        <v/>
      </c>
      <c r="C15" s="164">
        <f>'1. بيانات العميل'!M15</f>
        <v/>
      </c>
      <c r="D15" s="162">
        <f>IF(C15="","",IF(C15&gt;=750,25,IF(C15&gt;=700,20,IF(C15&gt;=650,15,IF(C15&gt;=600,10,IF(C15&gt;=550,5,0))))))</f>
        <v/>
      </c>
      <c r="E15" s="165">
        <f>'2. الالتزامات'!N15</f>
        <v/>
      </c>
      <c r="F15" s="162">
        <f>IF(E15="","",IF(E15&lt;=0.3,25,IF(E15&lt;=0.4,20,IF(E15&lt;=0.5,15,IF(E15&lt;=0.6,10,IF(E15&lt;=0.7,5,0))))))</f>
        <v/>
      </c>
      <c r="G15" s="164">
        <f>'1. بيانات العميل'!O15</f>
        <v/>
      </c>
      <c r="H15" s="164">
        <f>'1. بيانات العميل'!P15</f>
        <v/>
      </c>
      <c r="I15" s="164">
        <f>'1. بيانات العميل'!Q15</f>
        <v/>
      </c>
      <c r="J15" s="162">
        <f>IF(OR(G15="نعم",H15="نعم",I15="نعم"),0,20)</f>
        <v/>
      </c>
      <c r="K15" s="164">
        <f>'3. التنفيذات'!K15</f>
        <v/>
      </c>
      <c r="L15" s="159">
        <f>'3. التنفيذات'!L15</f>
        <v/>
      </c>
      <c r="M15" s="162">
        <f>IF(K15=0,20,IF(OR(K15&gt;8,L15&gt;100000),0,IF(OR(K15&gt;5,L15&gt;50000),5,IF(OR(K15&gt;3,L15&gt;25000),10,15))))</f>
        <v/>
      </c>
      <c r="N15" s="164">
        <f>'1. بيانات العميل'!H15</f>
        <v/>
      </c>
      <c r="O15" s="162">
        <f>IF(N15="حكومي",15,IF(N15="شبه حكومي",10,IF(N15="خاص كبير",8,IF(N15="متقاعد",5,5))))</f>
        <v/>
      </c>
      <c r="P15" s="166">
        <f>IFERROR(D15+F15+J15+M15+O15,0)</f>
        <v/>
      </c>
      <c r="Q15" s="167">
        <f>IFERROR(P15/105,0)</f>
        <v/>
      </c>
      <c r="R15" s="168">
        <f>IF(P15="","",IF(P15&gt;=85,"A",IF(P15&gt;=70,"B",IF(P15&gt;=55,"C","D"))))</f>
        <v/>
      </c>
      <c r="S15" s="162">
        <f>IF(B15="","",IF(OR(G15="نعم",H15="نعم",I15="نعم",K15&gt;8,L15&gt;100000,'3. التنفيذات'!G15&gt;3,C15&lt;550,E15&gt;0.7),"🔴 مرفوض - سياسة مباشرة",IF(R15="A","🟢 مؤهل",IF(R15="B","🟡 مؤهل بتحفظ",IF(R15="C","🟠 يحتاج استثناء","🔴 مرفوض")))))</f>
        <v/>
      </c>
    </row>
    <row r="16" ht="15" customHeight="1" s="104">
      <c r="A16" s="149">
        <f>'1. بيانات العميل'!A16</f>
        <v/>
      </c>
      <c r="B16" s="156">
        <f>'1. بيانات العميل'!C16</f>
        <v/>
      </c>
      <c r="C16" s="164">
        <f>'1. بيانات العميل'!M16</f>
        <v/>
      </c>
      <c r="D16" s="162">
        <f>IF(C16="","",IF(C16&gt;=750,25,IF(C16&gt;=700,20,IF(C16&gt;=650,15,IF(C16&gt;=600,10,IF(C16&gt;=550,5,0))))))</f>
        <v/>
      </c>
      <c r="E16" s="165">
        <f>'2. الالتزامات'!N16</f>
        <v/>
      </c>
      <c r="F16" s="162">
        <f>IF(E16="","",IF(E16&lt;=0.3,25,IF(E16&lt;=0.4,20,IF(E16&lt;=0.5,15,IF(E16&lt;=0.6,10,IF(E16&lt;=0.7,5,0))))))</f>
        <v/>
      </c>
      <c r="G16" s="164">
        <f>'1. بيانات العميل'!O16</f>
        <v/>
      </c>
      <c r="H16" s="164">
        <f>'1. بيانات العميل'!P16</f>
        <v/>
      </c>
      <c r="I16" s="164">
        <f>'1. بيانات العميل'!Q16</f>
        <v/>
      </c>
      <c r="J16" s="162">
        <f>IF(OR(G16="نعم",H16="نعم",I16="نعم"),0,20)</f>
        <v/>
      </c>
      <c r="K16" s="164">
        <f>'3. التنفيذات'!K16</f>
        <v/>
      </c>
      <c r="L16" s="159">
        <f>'3. التنفيذات'!L16</f>
        <v/>
      </c>
      <c r="M16" s="162">
        <f>IF(K16=0,20,IF(OR(K16&gt;8,L16&gt;100000),0,IF(OR(K16&gt;5,L16&gt;50000),5,IF(OR(K16&gt;3,L16&gt;25000),10,15))))</f>
        <v/>
      </c>
      <c r="N16" s="164">
        <f>'1. بيانات العميل'!H16</f>
        <v/>
      </c>
      <c r="O16" s="162">
        <f>IF(N16="حكومي",15,IF(N16="شبه حكومي",10,IF(N16="خاص كبير",8,IF(N16="متقاعد",5,5))))</f>
        <v/>
      </c>
      <c r="P16" s="166">
        <f>IFERROR(D16+F16+J16+M16+O16,0)</f>
        <v/>
      </c>
      <c r="Q16" s="167">
        <f>IFERROR(P16/105,0)</f>
        <v/>
      </c>
      <c r="R16" s="168">
        <f>IF(P16="","",IF(P16&gt;=85,"A",IF(P16&gt;=70,"B",IF(P16&gt;=55,"C","D"))))</f>
        <v/>
      </c>
      <c r="S16" s="162">
        <f>IF(B16="","",IF(OR(G16="نعم",H16="نعم",I16="نعم",K16&gt;8,L16&gt;100000,'3. التنفيذات'!G16&gt;3,C16&lt;550,E16&gt;0.7),"🔴 مرفوض - سياسة مباشرة",IF(R16="A","🟢 مؤهل",IF(R16="B","🟡 مؤهل بتحفظ",IF(R16="C","🟠 يحتاج استثناء","🔴 مرفوض")))))</f>
        <v/>
      </c>
    </row>
    <row r="17" ht="15" customHeight="1" s="104">
      <c r="A17" s="149">
        <f>'1. بيانات العميل'!A17</f>
        <v/>
      </c>
      <c r="B17" s="156">
        <f>'1. بيانات العميل'!C17</f>
        <v/>
      </c>
      <c r="C17" s="164">
        <f>'1. بيانات العميل'!M17</f>
        <v/>
      </c>
      <c r="D17" s="162">
        <f>IF(C17="","",IF(C17&gt;=750,25,IF(C17&gt;=700,20,IF(C17&gt;=650,15,IF(C17&gt;=600,10,IF(C17&gt;=550,5,0))))))</f>
        <v/>
      </c>
      <c r="E17" s="165">
        <f>'2. الالتزامات'!N17</f>
        <v/>
      </c>
      <c r="F17" s="162">
        <f>IF(E17="","",IF(E17&lt;=0.3,25,IF(E17&lt;=0.4,20,IF(E17&lt;=0.5,15,IF(E17&lt;=0.6,10,IF(E17&lt;=0.7,5,0))))))</f>
        <v/>
      </c>
      <c r="G17" s="164">
        <f>'1. بيانات العميل'!O17</f>
        <v/>
      </c>
      <c r="H17" s="164">
        <f>'1. بيانات العميل'!P17</f>
        <v/>
      </c>
      <c r="I17" s="164">
        <f>'1. بيانات العميل'!Q17</f>
        <v/>
      </c>
      <c r="J17" s="162">
        <f>IF(OR(G17="نعم",H17="نعم",I17="نعم"),0,20)</f>
        <v/>
      </c>
      <c r="K17" s="164">
        <f>'3. التنفيذات'!K17</f>
        <v/>
      </c>
      <c r="L17" s="159">
        <f>'3. التنفيذات'!L17</f>
        <v/>
      </c>
      <c r="M17" s="162">
        <f>IF(K17=0,20,IF(OR(K17&gt;8,L17&gt;100000),0,IF(OR(K17&gt;5,L17&gt;50000),5,IF(OR(K17&gt;3,L17&gt;25000),10,15))))</f>
        <v/>
      </c>
      <c r="N17" s="164">
        <f>'1. بيانات العميل'!H17</f>
        <v/>
      </c>
      <c r="O17" s="162">
        <f>IF(N17="حكومي",15,IF(N17="شبه حكومي",10,IF(N17="خاص كبير",8,IF(N17="متقاعد",5,5))))</f>
        <v/>
      </c>
      <c r="P17" s="166">
        <f>IFERROR(D17+F17+J17+M17+O17,0)</f>
        <v/>
      </c>
      <c r="Q17" s="167">
        <f>IFERROR(P17/105,0)</f>
        <v/>
      </c>
      <c r="R17" s="168">
        <f>IF(P17="","",IF(P17&gt;=85,"A",IF(P17&gt;=70,"B",IF(P17&gt;=55,"C","D"))))</f>
        <v/>
      </c>
      <c r="S17" s="162">
        <f>IF(B17="","",IF(OR(G17="نعم",H17="نعم",I17="نعم",K17&gt;8,L17&gt;100000,'3. التنفيذات'!G17&gt;3,C17&lt;550,E17&gt;0.7),"🔴 مرفوض - سياسة مباشرة",IF(R17="A","🟢 مؤهل",IF(R17="B","🟡 مؤهل بتحفظ",IF(R17="C","🟠 يحتاج استثناء","🔴 مرفوض")))))</f>
        <v/>
      </c>
    </row>
    <row r="18" ht="15" customHeight="1" s="104">
      <c r="A18" s="149">
        <f>'1. بيانات العميل'!A18</f>
        <v/>
      </c>
      <c r="B18" s="156">
        <f>'1. بيانات العميل'!C18</f>
        <v/>
      </c>
      <c r="C18" s="164">
        <f>'1. بيانات العميل'!M18</f>
        <v/>
      </c>
      <c r="D18" s="162">
        <f>IF(C18="","",IF(C18&gt;=750,25,IF(C18&gt;=700,20,IF(C18&gt;=650,15,IF(C18&gt;=600,10,IF(C18&gt;=550,5,0))))))</f>
        <v/>
      </c>
      <c r="E18" s="165">
        <f>'2. الالتزامات'!N18</f>
        <v/>
      </c>
      <c r="F18" s="162">
        <f>IF(E18="","",IF(E18&lt;=0.3,25,IF(E18&lt;=0.4,20,IF(E18&lt;=0.5,15,IF(E18&lt;=0.6,10,IF(E18&lt;=0.7,5,0))))))</f>
        <v/>
      </c>
      <c r="G18" s="164">
        <f>'1. بيانات العميل'!O18</f>
        <v/>
      </c>
      <c r="H18" s="164">
        <f>'1. بيانات العميل'!P18</f>
        <v/>
      </c>
      <c r="I18" s="164">
        <f>'1. بيانات العميل'!Q18</f>
        <v/>
      </c>
      <c r="J18" s="162">
        <f>IF(OR(G18="نعم",H18="نعم",I18="نعم"),0,20)</f>
        <v/>
      </c>
      <c r="K18" s="164">
        <f>'3. التنفيذات'!K18</f>
        <v/>
      </c>
      <c r="L18" s="159">
        <f>'3. التنفيذات'!L18</f>
        <v/>
      </c>
      <c r="M18" s="162">
        <f>IF(K18=0,20,IF(OR(K18&gt;8,L18&gt;100000),0,IF(OR(K18&gt;5,L18&gt;50000),5,IF(OR(K18&gt;3,L18&gt;25000),10,15))))</f>
        <v/>
      </c>
      <c r="N18" s="164">
        <f>'1. بيانات العميل'!H18</f>
        <v/>
      </c>
      <c r="O18" s="162">
        <f>IF(N18="حكومي",15,IF(N18="شبه حكومي",10,IF(N18="خاص كبير",8,IF(N18="متقاعد",5,5))))</f>
        <v/>
      </c>
      <c r="P18" s="166">
        <f>IFERROR(D18+F18+J18+M18+O18,0)</f>
        <v/>
      </c>
      <c r="Q18" s="167">
        <f>IFERROR(P18/105,0)</f>
        <v/>
      </c>
      <c r="R18" s="168">
        <f>IF(P18="","",IF(P18&gt;=85,"A",IF(P18&gt;=70,"B",IF(P18&gt;=55,"C","D"))))</f>
        <v/>
      </c>
      <c r="S18" s="162">
        <f>IF(B18="","",IF(OR(G18="نعم",H18="نعم",I18="نعم",K18&gt;8,L18&gt;100000,'3. التنفيذات'!G18&gt;3,C18&lt;550,E18&gt;0.7),"🔴 مرفوض - سياسة مباشرة",IF(R18="A","🟢 مؤهل",IF(R18="B","🟡 مؤهل بتحفظ",IF(R18="C","🟠 يحتاج استثناء","🔴 مرفوض")))))</f>
        <v/>
      </c>
    </row>
    <row r="19" ht="15" customHeight="1" s="104">
      <c r="A19" s="149">
        <f>'1. بيانات العميل'!A19</f>
        <v/>
      </c>
      <c r="B19" s="156">
        <f>'1. بيانات العميل'!C19</f>
        <v/>
      </c>
      <c r="C19" s="164">
        <f>'1. بيانات العميل'!M19</f>
        <v/>
      </c>
      <c r="D19" s="162">
        <f>IF(C19="","",IF(C19&gt;=750,25,IF(C19&gt;=700,20,IF(C19&gt;=650,15,IF(C19&gt;=600,10,IF(C19&gt;=550,5,0))))))</f>
        <v/>
      </c>
      <c r="E19" s="165">
        <f>'2. الالتزامات'!N19</f>
        <v/>
      </c>
      <c r="F19" s="162">
        <f>IF(E19="","",IF(E19&lt;=0.3,25,IF(E19&lt;=0.4,20,IF(E19&lt;=0.5,15,IF(E19&lt;=0.6,10,IF(E19&lt;=0.7,5,0))))))</f>
        <v/>
      </c>
      <c r="G19" s="164">
        <f>'1. بيانات العميل'!O19</f>
        <v/>
      </c>
      <c r="H19" s="164">
        <f>'1. بيانات العميل'!P19</f>
        <v/>
      </c>
      <c r="I19" s="164">
        <f>'1. بيانات العميل'!Q19</f>
        <v/>
      </c>
      <c r="J19" s="162">
        <f>IF(OR(G19="نعم",H19="نعم",I19="نعم"),0,20)</f>
        <v/>
      </c>
      <c r="K19" s="164">
        <f>'3. التنفيذات'!K19</f>
        <v/>
      </c>
      <c r="L19" s="159">
        <f>'3. التنفيذات'!L19</f>
        <v/>
      </c>
      <c r="M19" s="162">
        <f>IF(K19=0,20,IF(OR(K19&gt;8,L19&gt;100000),0,IF(OR(K19&gt;5,L19&gt;50000),5,IF(OR(K19&gt;3,L19&gt;25000),10,15))))</f>
        <v/>
      </c>
      <c r="N19" s="164">
        <f>'1. بيانات العميل'!H19</f>
        <v/>
      </c>
      <c r="O19" s="162">
        <f>IF(N19="حكومي",15,IF(N19="شبه حكومي",10,IF(N19="خاص كبير",8,IF(N19="متقاعد",5,5))))</f>
        <v/>
      </c>
      <c r="P19" s="166">
        <f>IFERROR(D19+F19+J19+M19+O19,0)</f>
        <v/>
      </c>
      <c r="Q19" s="167">
        <f>IFERROR(P19/105,0)</f>
        <v/>
      </c>
      <c r="R19" s="168">
        <f>IF(P19="","",IF(P19&gt;=85,"A",IF(P19&gt;=70,"B",IF(P19&gt;=55,"C","D"))))</f>
        <v/>
      </c>
      <c r="S19" s="162">
        <f>IF(B19="","",IF(OR(G19="نعم",H19="نعم",I19="نعم",K19&gt;8,L19&gt;100000,'3. التنفيذات'!G19&gt;3,C19&lt;550,E19&gt;0.7),"🔴 مرفوض - سياسة مباشرة",IF(R19="A","🟢 مؤهل",IF(R19="B","🟡 مؤهل بتحفظ",IF(R19="C","🟠 يحتاج استثناء","🔴 مرفوض")))))</f>
        <v/>
      </c>
    </row>
    <row r="20" ht="15" customHeight="1" s="104">
      <c r="A20" s="149">
        <f>'1. بيانات العميل'!A20</f>
        <v/>
      </c>
      <c r="B20" s="156">
        <f>'1. بيانات العميل'!C20</f>
        <v/>
      </c>
      <c r="C20" s="164">
        <f>'1. بيانات العميل'!M20</f>
        <v/>
      </c>
      <c r="D20" s="162">
        <f>IF(C20="","",IF(C20&gt;=750,25,IF(C20&gt;=700,20,IF(C20&gt;=650,15,IF(C20&gt;=600,10,IF(C20&gt;=550,5,0))))))</f>
        <v/>
      </c>
      <c r="E20" s="165">
        <f>'2. الالتزامات'!N20</f>
        <v/>
      </c>
      <c r="F20" s="162">
        <f>IF(E20="","",IF(E20&lt;=0.3,25,IF(E20&lt;=0.4,20,IF(E20&lt;=0.5,15,IF(E20&lt;=0.6,10,IF(E20&lt;=0.7,5,0))))))</f>
        <v/>
      </c>
      <c r="G20" s="164">
        <f>'1. بيانات العميل'!O20</f>
        <v/>
      </c>
      <c r="H20" s="164">
        <f>'1. بيانات العميل'!P20</f>
        <v/>
      </c>
      <c r="I20" s="164">
        <f>'1. بيانات العميل'!Q20</f>
        <v/>
      </c>
      <c r="J20" s="162">
        <f>IF(OR(G20="نعم",H20="نعم",I20="نعم"),0,20)</f>
        <v/>
      </c>
      <c r="K20" s="164">
        <f>'3. التنفيذات'!K20</f>
        <v/>
      </c>
      <c r="L20" s="159">
        <f>'3. التنفيذات'!L20</f>
        <v/>
      </c>
      <c r="M20" s="162">
        <f>IF(K20=0,20,IF(OR(K20&gt;8,L20&gt;100000),0,IF(OR(K20&gt;5,L20&gt;50000),5,IF(OR(K20&gt;3,L20&gt;25000),10,15))))</f>
        <v/>
      </c>
      <c r="N20" s="164">
        <f>'1. بيانات العميل'!H20</f>
        <v/>
      </c>
      <c r="O20" s="162">
        <f>IF(N20="حكومي",15,IF(N20="شبه حكومي",10,IF(N20="خاص كبير",8,IF(N20="متقاعد",5,5))))</f>
        <v/>
      </c>
      <c r="P20" s="166">
        <f>IFERROR(D20+F20+J20+M20+O20,0)</f>
        <v/>
      </c>
      <c r="Q20" s="167">
        <f>IFERROR(P20/105,0)</f>
        <v/>
      </c>
      <c r="R20" s="168">
        <f>IF(P20="","",IF(P20&gt;=85,"A",IF(P20&gt;=70,"B",IF(P20&gt;=55,"C","D"))))</f>
        <v/>
      </c>
      <c r="S20" s="162">
        <f>IF(B20="","",IF(OR(G20="نعم",H20="نعم",I20="نعم",K20&gt;8,L20&gt;100000,'3. التنفيذات'!G20&gt;3,C20&lt;550,E20&gt;0.7),"🔴 مرفوض - سياسة مباشرة",IF(R20="A","🟢 مؤهل",IF(R20="B","🟡 مؤهل بتحفظ",IF(R20="C","🟠 يحتاج استثناء","🔴 مرفوض")))))</f>
        <v/>
      </c>
    </row>
    <row r="21" ht="15" customHeight="1" s="104">
      <c r="A21" s="149">
        <f>'1. بيانات العميل'!A21</f>
        <v/>
      </c>
      <c r="B21" s="156">
        <f>'1. بيانات العميل'!C21</f>
        <v/>
      </c>
      <c r="C21" s="164">
        <f>'1. بيانات العميل'!M21</f>
        <v/>
      </c>
      <c r="D21" s="162">
        <f>IF(C21="","",IF(C21&gt;=750,25,IF(C21&gt;=700,20,IF(C21&gt;=650,15,IF(C21&gt;=600,10,IF(C21&gt;=550,5,0))))))</f>
        <v/>
      </c>
      <c r="E21" s="165">
        <f>'2. الالتزامات'!N21</f>
        <v/>
      </c>
      <c r="F21" s="162">
        <f>IF(E21="","",IF(E21&lt;=0.3,25,IF(E21&lt;=0.4,20,IF(E21&lt;=0.5,15,IF(E21&lt;=0.6,10,IF(E21&lt;=0.7,5,0))))))</f>
        <v/>
      </c>
      <c r="G21" s="164">
        <f>'1. بيانات العميل'!O21</f>
        <v/>
      </c>
      <c r="H21" s="164">
        <f>'1. بيانات العميل'!P21</f>
        <v/>
      </c>
      <c r="I21" s="164">
        <f>'1. بيانات العميل'!Q21</f>
        <v/>
      </c>
      <c r="J21" s="162">
        <f>IF(OR(G21="نعم",H21="نعم",I21="نعم"),0,20)</f>
        <v/>
      </c>
      <c r="K21" s="164">
        <f>'3. التنفيذات'!K21</f>
        <v/>
      </c>
      <c r="L21" s="159">
        <f>'3. التنفيذات'!L21</f>
        <v/>
      </c>
      <c r="M21" s="162">
        <f>IF(K21=0,20,IF(OR(K21&gt;8,L21&gt;100000),0,IF(OR(K21&gt;5,L21&gt;50000),5,IF(OR(K21&gt;3,L21&gt;25000),10,15))))</f>
        <v/>
      </c>
      <c r="N21" s="164">
        <f>'1. بيانات العميل'!H21</f>
        <v/>
      </c>
      <c r="O21" s="162">
        <f>IF(N21="حكومي",15,IF(N21="شبه حكومي",10,IF(N21="خاص كبير",8,IF(N21="متقاعد",5,5))))</f>
        <v/>
      </c>
      <c r="P21" s="166">
        <f>IFERROR(D21+F21+J21+M21+O21,0)</f>
        <v/>
      </c>
      <c r="Q21" s="167">
        <f>IFERROR(P21/105,0)</f>
        <v/>
      </c>
      <c r="R21" s="168">
        <f>IF(P21="","",IF(P21&gt;=85,"A",IF(P21&gt;=70,"B",IF(P21&gt;=55,"C","D"))))</f>
        <v/>
      </c>
      <c r="S21" s="162">
        <f>IF(B21="","",IF(OR(G21="نعم",H21="نعم",I21="نعم",K21&gt;8,L21&gt;100000,'3. التنفيذات'!G21&gt;3,C21&lt;550,E21&gt;0.7),"🔴 مرفوض - سياسة مباشرة",IF(R21="A","🟢 مؤهل",IF(R21="B","🟡 مؤهل بتحفظ",IF(R21="C","🟠 يحتاج استثناء","🔴 مرفوض")))))</f>
        <v/>
      </c>
    </row>
    <row r="22" ht="15" customHeight="1" s="104">
      <c r="A22" s="149">
        <f>'1. بيانات العميل'!A22</f>
        <v/>
      </c>
      <c r="B22" s="156">
        <f>'1. بيانات العميل'!C22</f>
        <v/>
      </c>
      <c r="C22" s="164">
        <f>'1. بيانات العميل'!M22</f>
        <v/>
      </c>
      <c r="D22" s="162">
        <f>IF(C22="","",IF(C22&gt;=750,25,IF(C22&gt;=700,20,IF(C22&gt;=650,15,IF(C22&gt;=600,10,IF(C22&gt;=550,5,0))))))</f>
        <v/>
      </c>
      <c r="E22" s="165">
        <f>'2. الالتزامات'!N22</f>
        <v/>
      </c>
      <c r="F22" s="162">
        <f>IF(E22="","",IF(E22&lt;=0.3,25,IF(E22&lt;=0.4,20,IF(E22&lt;=0.5,15,IF(E22&lt;=0.6,10,IF(E22&lt;=0.7,5,0))))))</f>
        <v/>
      </c>
      <c r="G22" s="164">
        <f>'1. بيانات العميل'!O22</f>
        <v/>
      </c>
      <c r="H22" s="164">
        <f>'1. بيانات العميل'!P22</f>
        <v/>
      </c>
      <c r="I22" s="164">
        <f>'1. بيانات العميل'!Q22</f>
        <v/>
      </c>
      <c r="J22" s="162">
        <f>IF(OR(G22="نعم",H22="نعم",I22="نعم"),0,20)</f>
        <v/>
      </c>
      <c r="K22" s="164">
        <f>'3. التنفيذات'!K22</f>
        <v/>
      </c>
      <c r="L22" s="159">
        <f>'3. التنفيذات'!L22</f>
        <v/>
      </c>
      <c r="M22" s="162">
        <f>IF(K22=0,20,IF(OR(K22&gt;8,L22&gt;100000),0,IF(OR(K22&gt;5,L22&gt;50000),5,IF(OR(K22&gt;3,L22&gt;25000),10,15))))</f>
        <v/>
      </c>
      <c r="N22" s="164">
        <f>'1. بيانات العميل'!H22</f>
        <v/>
      </c>
      <c r="O22" s="162">
        <f>IF(N22="حكومي",15,IF(N22="شبه حكومي",10,IF(N22="خاص كبير",8,IF(N22="متقاعد",5,5))))</f>
        <v/>
      </c>
      <c r="P22" s="166">
        <f>IFERROR(D22+F22+J22+M22+O22,0)</f>
        <v/>
      </c>
      <c r="Q22" s="167">
        <f>IFERROR(P22/105,0)</f>
        <v/>
      </c>
      <c r="R22" s="168">
        <f>IF(P22="","",IF(P22&gt;=85,"A",IF(P22&gt;=70,"B",IF(P22&gt;=55,"C","D"))))</f>
        <v/>
      </c>
      <c r="S22" s="162">
        <f>IF(B22="","",IF(OR(G22="نعم",H22="نعم",I22="نعم",K22&gt;8,L22&gt;100000,'3. التنفيذات'!G22&gt;3,C22&lt;550,E22&gt;0.7),"🔴 مرفوض - سياسة مباشرة",IF(R22="A","🟢 مؤهل",IF(R22="B","🟡 مؤهل بتحفظ",IF(R22="C","🟠 يحتاج استثناء","🔴 مرفوض")))))</f>
        <v/>
      </c>
    </row>
    <row r="23" ht="15" customHeight="1" s="104">
      <c r="A23" s="149">
        <f>'1. بيانات العميل'!A23</f>
        <v/>
      </c>
      <c r="B23" s="156">
        <f>'1. بيانات العميل'!C23</f>
        <v/>
      </c>
      <c r="C23" s="164">
        <f>'1. بيانات العميل'!M23</f>
        <v/>
      </c>
      <c r="D23" s="162">
        <f>IF(C23="","",IF(C23&gt;=750,25,IF(C23&gt;=700,20,IF(C23&gt;=650,15,IF(C23&gt;=600,10,IF(C23&gt;=550,5,0))))))</f>
        <v/>
      </c>
      <c r="E23" s="165">
        <f>'2. الالتزامات'!N23</f>
        <v/>
      </c>
      <c r="F23" s="162">
        <f>IF(E23="","",IF(E23&lt;=0.3,25,IF(E23&lt;=0.4,20,IF(E23&lt;=0.5,15,IF(E23&lt;=0.6,10,IF(E23&lt;=0.7,5,0))))))</f>
        <v/>
      </c>
      <c r="G23" s="164">
        <f>'1. بيانات العميل'!O23</f>
        <v/>
      </c>
      <c r="H23" s="164">
        <f>'1. بيانات العميل'!P23</f>
        <v/>
      </c>
      <c r="I23" s="164">
        <f>'1. بيانات العميل'!Q23</f>
        <v/>
      </c>
      <c r="J23" s="162">
        <f>IF(OR(G23="نعم",H23="نعم",I23="نعم"),0,20)</f>
        <v/>
      </c>
      <c r="K23" s="164">
        <f>'3. التنفيذات'!K23</f>
        <v/>
      </c>
      <c r="L23" s="159">
        <f>'3. التنفيذات'!L23</f>
        <v/>
      </c>
      <c r="M23" s="162">
        <f>IF(K23=0,20,IF(OR(K23&gt;8,L23&gt;100000),0,IF(OR(K23&gt;5,L23&gt;50000),5,IF(OR(K23&gt;3,L23&gt;25000),10,15))))</f>
        <v/>
      </c>
      <c r="N23" s="164">
        <f>'1. بيانات العميل'!H23</f>
        <v/>
      </c>
      <c r="O23" s="162">
        <f>IF(N23="حكومي",15,IF(N23="شبه حكومي",10,IF(N23="خاص كبير",8,IF(N23="متقاعد",5,5))))</f>
        <v/>
      </c>
      <c r="P23" s="166">
        <f>IFERROR(D23+F23+J23+M23+O23,0)</f>
        <v/>
      </c>
      <c r="Q23" s="167">
        <f>IFERROR(P23/105,0)</f>
        <v/>
      </c>
      <c r="R23" s="168">
        <f>IF(P23="","",IF(P23&gt;=85,"A",IF(P23&gt;=70,"B",IF(P23&gt;=55,"C","D"))))</f>
        <v/>
      </c>
      <c r="S23" s="162">
        <f>IF(B23="","",IF(OR(G23="نعم",H23="نعم",I23="نعم",K23&gt;8,L23&gt;100000,'3. التنفيذات'!G23&gt;3,C23&lt;550,E23&gt;0.7),"🔴 مرفوض - سياسة مباشرة",IF(R23="A","🟢 مؤهل",IF(R23="B","🟡 مؤهل بتحفظ",IF(R23="C","🟠 يحتاج استثناء","🔴 مرفوض")))))</f>
        <v/>
      </c>
    </row>
    <row r="24" ht="15" customHeight="1" s="104">
      <c r="A24" s="149">
        <f>'1. بيانات العميل'!A24</f>
        <v/>
      </c>
      <c r="B24" s="156">
        <f>'1. بيانات العميل'!C24</f>
        <v/>
      </c>
      <c r="C24" s="164">
        <f>'1. بيانات العميل'!M24</f>
        <v/>
      </c>
      <c r="D24" s="162">
        <f>IF(C24="","",IF(C24&gt;=750,25,IF(C24&gt;=700,20,IF(C24&gt;=650,15,IF(C24&gt;=600,10,IF(C24&gt;=550,5,0))))))</f>
        <v/>
      </c>
      <c r="E24" s="165">
        <f>'2. الالتزامات'!N24</f>
        <v/>
      </c>
      <c r="F24" s="162">
        <f>IF(E24="","",IF(E24&lt;=0.3,25,IF(E24&lt;=0.4,20,IF(E24&lt;=0.5,15,IF(E24&lt;=0.6,10,IF(E24&lt;=0.7,5,0))))))</f>
        <v/>
      </c>
      <c r="G24" s="164">
        <f>'1. بيانات العميل'!O24</f>
        <v/>
      </c>
      <c r="H24" s="164">
        <f>'1. بيانات العميل'!P24</f>
        <v/>
      </c>
      <c r="I24" s="164">
        <f>'1. بيانات العميل'!Q24</f>
        <v/>
      </c>
      <c r="J24" s="162">
        <f>IF(OR(G24="نعم",H24="نعم",I24="نعم"),0,20)</f>
        <v/>
      </c>
      <c r="K24" s="164">
        <f>'3. التنفيذات'!K24</f>
        <v/>
      </c>
      <c r="L24" s="159">
        <f>'3. التنفيذات'!L24</f>
        <v/>
      </c>
      <c r="M24" s="162">
        <f>IF(K24=0,20,IF(OR(K24&gt;8,L24&gt;100000),0,IF(OR(K24&gt;5,L24&gt;50000),5,IF(OR(K24&gt;3,L24&gt;25000),10,15))))</f>
        <v/>
      </c>
      <c r="N24" s="164">
        <f>'1. بيانات العميل'!H24</f>
        <v/>
      </c>
      <c r="O24" s="162">
        <f>IF(N24="حكومي",15,IF(N24="شبه حكومي",10,IF(N24="خاص كبير",8,IF(N24="متقاعد",5,5))))</f>
        <v/>
      </c>
      <c r="P24" s="166">
        <f>IFERROR(D24+F24+J24+M24+O24,0)</f>
        <v/>
      </c>
      <c r="Q24" s="167">
        <f>IFERROR(P24/105,0)</f>
        <v/>
      </c>
      <c r="R24" s="168">
        <f>IF(P24="","",IF(P24&gt;=85,"A",IF(P24&gt;=70,"B",IF(P24&gt;=55,"C","D"))))</f>
        <v/>
      </c>
      <c r="S24" s="162">
        <f>IF(B24="","",IF(OR(G24="نعم",H24="نعم",I24="نعم",K24&gt;8,L24&gt;100000,'3. التنفيذات'!G24&gt;3,C24&lt;550,E24&gt;0.7),"🔴 مرفوض - سياسة مباشرة",IF(R24="A","🟢 مؤهل",IF(R24="B","🟡 مؤهل بتحفظ",IF(R24="C","🟠 يحتاج استثناء","🔴 مرفوض")))))</f>
        <v/>
      </c>
    </row>
    <row r="25" ht="15" customHeight="1" s="104">
      <c r="A25" s="149">
        <f>'1. بيانات العميل'!A25</f>
        <v/>
      </c>
      <c r="B25" s="156">
        <f>'1. بيانات العميل'!C25</f>
        <v/>
      </c>
      <c r="C25" s="164">
        <f>'1. بيانات العميل'!M25</f>
        <v/>
      </c>
      <c r="D25" s="162">
        <f>IF(C25="","",IF(C25&gt;=750,25,IF(C25&gt;=700,20,IF(C25&gt;=650,15,IF(C25&gt;=600,10,IF(C25&gt;=550,5,0))))))</f>
        <v/>
      </c>
      <c r="E25" s="165">
        <f>'2. الالتزامات'!N25</f>
        <v/>
      </c>
      <c r="F25" s="162">
        <f>IF(E25="","",IF(E25&lt;=0.3,25,IF(E25&lt;=0.4,20,IF(E25&lt;=0.5,15,IF(E25&lt;=0.6,10,IF(E25&lt;=0.7,5,0))))))</f>
        <v/>
      </c>
      <c r="G25" s="164">
        <f>'1. بيانات العميل'!O25</f>
        <v/>
      </c>
      <c r="H25" s="164">
        <f>'1. بيانات العميل'!P25</f>
        <v/>
      </c>
      <c r="I25" s="164">
        <f>'1. بيانات العميل'!Q25</f>
        <v/>
      </c>
      <c r="J25" s="162">
        <f>IF(OR(G25="نعم",H25="نعم",I25="نعم"),0,20)</f>
        <v/>
      </c>
      <c r="K25" s="164">
        <f>'3. التنفيذات'!K25</f>
        <v/>
      </c>
      <c r="L25" s="159">
        <f>'3. التنفيذات'!L25</f>
        <v/>
      </c>
      <c r="M25" s="162">
        <f>IF(K25=0,20,IF(OR(K25&gt;8,L25&gt;100000),0,IF(OR(K25&gt;5,L25&gt;50000),5,IF(OR(K25&gt;3,L25&gt;25000),10,15))))</f>
        <v/>
      </c>
      <c r="N25" s="164">
        <f>'1. بيانات العميل'!H25</f>
        <v/>
      </c>
      <c r="O25" s="162">
        <f>IF(N25="حكومي",15,IF(N25="شبه حكومي",10,IF(N25="خاص كبير",8,IF(N25="متقاعد",5,5))))</f>
        <v/>
      </c>
      <c r="P25" s="166">
        <f>IFERROR(D25+F25+J25+M25+O25,0)</f>
        <v/>
      </c>
      <c r="Q25" s="167">
        <f>IFERROR(P25/105,0)</f>
        <v/>
      </c>
      <c r="R25" s="168">
        <f>IF(P25="","",IF(P25&gt;=85,"A",IF(P25&gt;=70,"B",IF(P25&gt;=55,"C","D"))))</f>
        <v/>
      </c>
      <c r="S25" s="162">
        <f>IF(B25="","",IF(OR(G25="نعم",H25="نعم",I25="نعم",K25&gt;8,L25&gt;100000,'3. التنفيذات'!G25&gt;3,C25&lt;550,E25&gt;0.7),"🔴 مرفوض - سياسة مباشرة",IF(R25="A","🟢 مؤهل",IF(R25="B","🟡 مؤهل بتحفظ",IF(R25="C","🟠 يحتاج استثناء","🔴 مرفوض")))))</f>
        <v/>
      </c>
    </row>
    <row r="26" ht="15" customHeight="1" s="104">
      <c r="A26" s="149">
        <f>'1. بيانات العميل'!A26</f>
        <v/>
      </c>
      <c r="B26" s="156">
        <f>'1. بيانات العميل'!C26</f>
        <v/>
      </c>
      <c r="C26" s="164">
        <f>'1. بيانات العميل'!M26</f>
        <v/>
      </c>
      <c r="D26" s="162">
        <f>IF(C26="","",IF(C26&gt;=750,25,IF(C26&gt;=700,20,IF(C26&gt;=650,15,IF(C26&gt;=600,10,IF(C26&gt;=550,5,0))))))</f>
        <v/>
      </c>
      <c r="E26" s="165">
        <f>'2. الالتزامات'!N26</f>
        <v/>
      </c>
      <c r="F26" s="162">
        <f>IF(E26="","",IF(E26&lt;=0.3,25,IF(E26&lt;=0.4,20,IF(E26&lt;=0.5,15,IF(E26&lt;=0.6,10,IF(E26&lt;=0.7,5,0))))))</f>
        <v/>
      </c>
      <c r="G26" s="164">
        <f>'1. بيانات العميل'!O26</f>
        <v/>
      </c>
      <c r="H26" s="164">
        <f>'1. بيانات العميل'!P26</f>
        <v/>
      </c>
      <c r="I26" s="164">
        <f>'1. بيانات العميل'!Q26</f>
        <v/>
      </c>
      <c r="J26" s="162">
        <f>IF(OR(G26="نعم",H26="نعم",I26="نعم"),0,20)</f>
        <v/>
      </c>
      <c r="K26" s="164">
        <f>'3. التنفيذات'!K26</f>
        <v/>
      </c>
      <c r="L26" s="159">
        <f>'3. التنفيذات'!L26</f>
        <v/>
      </c>
      <c r="M26" s="162">
        <f>IF(K26=0,20,IF(OR(K26&gt;8,L26&gt;100000),0,IF(OR(K26&gt;5,L26&gt;50000),5,IF(OR(K26&gt;3,L26&gt;25000),10,15))))</f>
        <v/>
      </c>
      <c r="N26" s="164">
        <f>'1. بيانات العميل'!H26</f>
        <v/>
      </c>
      <c r="O26" s="162">
        <f>IF(N26="حكومي",15,IF(N26="شبه حكومي",10,IF(N26="خاص كبير",8,IF(N26="متقاعد",5,5))))</f>
        <v/>
      </c>
      <c r="P26" s="166">
        <f>IFERROR(D26+F26+J26+M26+O26,0)</f>
        <v/>
      </c>
      <c r="Q26" s="167">
        <f>IFERROR(P26/105,0)</f>
        <v/>
      </c>
      <c r="R26" s="168">
        <f>IF(P26="","",IF(P26&gt;=85,"A",IF(P26&gt;=70,"B",IF(P26&gt;=55,"C","D"))))</f>
        <v/>
      </c>
      <c r="S26" s="162">
        <f>IF(B26="","",IF(OR(G26="نعم",H26="نعم",I26="نعم",K26&gt;8,L26&gt;100000,'3. التنفيذات'!G26&gt;3,C26&lt;550,E26&gt;0.7),"🔴 مرفوض - سياسة مباشرة",IF(R26="A","🟢 مؤهل",IF(R26="B","🟡 مؤهل بتحفظ",IF(R26="C","🟠 يحتاج استثناء","🔴 مرفوض")))))</f>
        <v/>
      </c>
    </row>
    <row r="27" ht="15" customHeight="1" s="104">
      <c r="A27" s="149">
        <f>'1. بيانات العميل'!A27</f>
        <v/>
      </c>
      <c r="B27" s="156">
        <f>'1. بيانات العميل'!C27</f>
        <v/>
      </c>
      <c r="C27" s="164">
        <f>'1. بيانات العميل'!M27</f>
        <v/>
      </c>
      <c r="D27" s="162">
        <f>IF(C27="","",IF(C27&gt;=750,25,IF(C27&gt;=700,20,IF(C27&gt;=650,15,IF(C27&gt;=600,10,IF(C27&gt;=550,5,0))))))</f>
        <v/>
      </c>
      <c r="E27" s="165">
        <f>'2. الالتزامات'!N27</f>
        <v/>
      </c>
      <c r="F27" s="162">
        <f>IF(E27="","",IF(E27&lt;=0.3,25,IF(E27&lt;=0.4,20,IF(E27&lt;=0.5,15,IF(E27&lt;=0.6,10,IF(E27&lt;=0.7,5,0))))))</f>
        <v/>
      </c>
      <c r="G27" s="164">
        <f>'1. بيانات العميل'!O27</f>
        <v/>
      </c>
      <c r="H27" s="164">
        <f>'1. بيانات العميل'!P27</f>
        <v/>
      </c>
      <c r="I27" s="164">
        <f>'1. بيانات العميل'!Q27</f>
        <v/>
      </c>
      <c r="J27" s="162">
        <f>IF(OR(G27="نعم",H27="نعم",I27="نعم"),0,20)</f>
        <v/>
      </c>
      <c r="K27" s="164">
        <f>'3. التنفيذات'!K27</f>
        <v/>
      </c>
      <c r="L27" s="159">
        <f>'3. التنفيذات'!L27</f>
        <v/>
      </c>
      <c r="M27" s="162">
        <f>IF(K27=0,20,IF(OR(K27&gt;8,L27&gt;100000),0,IF(OR(K27&gt;5,L27&gt;50000),5,IF(OR(K27&gt;3,L27&gt;25000),10,15))))</f>
        <v/>
      </c>
      <c r="N27" s="164">
        <f>'1. بيانات العميل'!H27</f>
        <v/>
      </c>
      <c r="O27" s="162">
        <f>IF(N27="حكومي",15,IF(N27="شبه حكومي",10,IF(N27="خاص كبير",8,IF(N27="متقاعد",5,5))))</f>
        <v/>
      </c>
      <c r="P27" s="166">
        <f>IFERROR(D27+F27+J27+M27+O27,0)</f>
        <v/>
      </c>
      <c r="Q27" s="167">
        <f>IFERROR(P27/105,0)</f>
        <v/>
      </c>
      <c r="R27" s="168">
        <f>IF(P27="","",IF(P27&gt;=85,"A",IF(P27&gt;=70,"B",IF(P27&gt;=55,"C","D"))))</f>
        <v/>
      </c>
      <c r="S27" s="162">
        <f>IF(B27="","",IF(OR(G27="نعم",H27="نعم",I27="نعم",K27&gt;8,L27&gt;100000,'3. التنفيذات'!G27&gt;3,C27&lt;550,E27&gt;0.7),"🔴 مرفوض - سياسة مباشرة",IF(R27="A","🟢 مؤهل",IF(R27="B","🟡 مؤهل بتحفظ",IF(R27="C","🟠 يحتاج استثناء","🔴 مرفوض")))))</f>
        <v/>
      </c>
    </row>
    <row r="28" ht="15" customHeight="1" s="104">
      <c r="A28" s="149">
        <f>'1. بيانات العميل'!A28</f>
        <v/>
      </c>
      <c r="B28" s="156">
        <f>'1. بيانات العميل'!C28</f>
        <v/>
      </c>
      <c r="C28" s="164">
        <f>'1. بيانات العميل'!M28</f>
        <v/>
      </c>
      <c r="D28" s="162">
        <f>IF(C28="","",IF(C28&gt;=750,25,IF(C28&gt;=700,20,IF(C28&gt;=650,15,IF(C28&gt;=600,10,IF(C28&gt;=550,5,0))))))</f>
        <v/>
      </c>
      <c r="E28" s="165">
        <f>'2. الالتزامات'!N28</f>
        <v/>
      </c>
      <c r="F28" s="162">
        <f>IF(E28="","",IF(E28&lt;=0.3,25,IF(E28&lt;=0.4,20,IF(E28&lt;=0.5,15,IF(E28&lt;=0.6,10,IF(E28&lt;=0.7,5,0))))))</f>
        <v/>
      </c>
      <c r="G28" s="164">
        <f>'1. بيانات العميل'!O28</f>
        <v/>
      </c>
      <c r="H28" s="164">
        <f>'1. بيانات العميل'!P28</f>
        <v/>
      </c>
      <c r="I28" s="164">
        <f>'1. بيانات العميل'!Q28</f>
        <v/>
      </c>
      <c r="J28" s="162">
        <f>IF(OR(G28="نعم",H28="نعم",I28="نعم"),0,20)</f>
        <v/>
      </c>
      <c r="K28" s="164">
        <f>'3. التنفيذات'!K28</f>
        <v/>
      </c>
      <c r="L28" s="159">
        <f>'3. التنفيذات'!L28</f>
        <v/>
      </c>
      <c r="M28" s="162">
        <f>IF(K28=0,20,IF(OR(K28&gt;8,L28&gt;100000),0,IF(OR(K28&gt;5,L28&gt;50000),5,IF(OR(K28&gt;3,L28&gt;25000),10,15))))</f>
        <v/>
      </c>
      <c r="N28" s="164">
        <f>'1. بيانات العميل'!H28</f>
        <v/>
      </c>
      <c r="O28" s="162">
        <f>IF(N28="حكومي",15,IF(N28="شبه حكومي",10,IF(N28="خاص كبير",8,IF(N28="متقاعد",5,5))))</f>
        <v/>
      </c>
      <c r="P28" s="166">
        <f>IFERROR(D28+F28+J28+M28+O28,0)</f>
        <v/>
      </c>
      <c r="Q28" s="167">
        <f>IFERROR(P28/105,0)</f>
        <v/>
      </c>
      <c r="R28" s="168">
        <f>IF(P28="","",IF(P28&gt;=85,"A",IF(P28&gt;=70,"B",IF(P28&gt;=55,"C","D"))))</f>
        <v/>
      </c>
      <c r="S28" s="162">
        <f>IF(B28="","",IF(OR(G28="نعم",H28="نعم",I28="نعم",K28&gt;8,L28&gt;100000,'3. التنفيذات'!G28&gt;3,C28&lt;550,E28&gt;0.7),"🔴 مرفوض - سياسة مباشرة",IF(R28="A","🟢 مؤهل",IF(R28="B","🟡 مؤهل بتحفظ",IF(R28="C","🟠 يحتاج استثناء","🔴 مرفوض")))))</f>
        <v/>
      </c>
    </row>
    <row r="29" ht="15" customHeight="1" s="104">
      <c r="A29" s="149">
        <f>'1. بيانات العميل'!A29</f>
        <v/>
      </c>
      <c r="B29" s="156">
        <f>'1. بيانات العميل'!C29</f>
        <v/>
      </c>
      <c r="C29" s="164">
        <f>'1. بيانات العميل'!M29</f>
        <v/>
      </c>
      <c r="D29" s="162">
        <f>IF(C29="","",IF(C29&gt;=750,25,IF(C29&gt;=700,20,IF(C29&gt;=650,15,IF(C29&gt;=600,10,IF(C29&gt;=550,5,0))))))</f>
        <v/>
      </c>
      <c r="E29" s="165">
        <f>'2. الالتزامات'!N29</f>
        <v/>
      </c>
      <c r="F29" s="162">
        <f>IF(E29="","",IF(E29&lt;=0.3,25,IF(E29&lt;=0.4,20,IF(E29&lt;=0.5,15,IF(E29&lt;=0.6,10,IF(E29&lt;=0.7,5,0))))))</f>
        <v/>
      </c>
      <c r="G29" s="164">
        <f>'1. بيانات العميل'!O29</f>
        <v/>
      </c>
      <c r="H29" s="164">
        <f>'1. بيانات العميل'!P29</f>
        <v/>
      </c>
      <c r="I29" s="164">
        <f>'1. بيانات العميل'!Q29</f>
        <v/>
      </c>
      <c r="J29" s="162">
        <f>IF(OR(G29="نعم",H29="نعم",I29="نعم"),0,20)</f>
        <v/>
      </c>
      <c r="K29" s="164">
        <f>'3. التنفيذات'!K29</f>
        <v/>
      </c>
      <c r="L29" s="159">
        <f>'3. التنفيذات'!L29</f>
        <v/>
      </c>
      <c r="M29" s="162">
        <f>IF(K29=0,20,IF(OR(K29&gt;8,L29&gt;100000),0,IF(OR(K29&gt;5,L29&gt;50000),5,IF(OR(K29&gt;3,L29&gt;25000),10,15))))</f>
        <v/>
      </c>
      <c r="N29" s="164">
        <f>'1. بيانات العميل'!H29</f>
        <v/>
      </c>
      <c r="O29" s="162">
        <f>IF(N29="حكومي",15,IF(N29="شبه حكومي",10,IF(N29="خاص كبير",8,IF(N29="متقاعد",5,5))))</f>
        <v/>
      </c>
      <c r="P29" s="166">
        <f>IFERROR(D29+F29+J29+M29+O29,0)</f>
        <v/>
      </c>
      <c r="Q29" s="167">
        <f>IFERROR(P29/105,0)</f>
        <v/>
      </c>
      <c r="R29" s="168">
        <f>IF(P29="","",IF(P29&gt;=85,"A",IF(P29&gt;=70,"B",IF(P29&gt;=55,"C","D"))))</f>
        <v/>
      </c>
      <c r="S29" s="162">
        <f>IF(B29="","",IF(OR(G29="نعم",H29="نعم",I29="نعم",K29&gt;8,L29&gt;100000,'3. التنفيذات'!G29&gt;3,C29&lt;550,E29&gt;0.7),"🔴 مرفوض - سياسة مباشرة",IF(R29="A","🟢 مؤهل",IF(R29="B","🟡 مؤهل بتحفظ",IF(R29="C","🟠 يحتاج استثناء","🔴 مرفوض")))))</f>
        <v/>
      </c>
    </row>
    <row r="30" ht="15" customHeight="1" s="104">
      <c r="A30" s="149">
        <f>'1. بيانات العميل'!A30</f>
        <v/>
      </c>
      <c r="B30" s="156">
        <f>'1. بيانات العميل'!C30</f>
        <v/>
      </c>
      <c r="C30" s="164">
        <f>'1. بيانات العميل'!M30</f>
        <v/>
      </c>
      <c r="D30" s="162">
        <f>IF(C30="","",IF(C30&gt;=750,25,IF(C30&gt;=700,20,IF(C30&gt;=650,15,IF(C30&gt;=600,10,IF(C30&gt;=550,5,0))))))</f>
        <v/>
      </c>
      <c r="E30" s="165">
        <f>'2. الالتزامات'!N30</f>
        <v/>
      </c>
      <c r="F30" s="162">
        <f>IF(E30="","",IF(E30&lt;=0.3,25,IF(E30&lt;=0.4,20,IF(E30&lt;=0.5,15,IF(E30&lt;=0.6,10,IF(E30&lt;=0.7,5,0))))))</f>
        <v/>
      </c>
      <c r="G30" s="164">
        <f>'1. بيانات العميل'!O30</f>
        <v/>
      </c>
      <c r="H30" s="164">
        <f>'1. بيانات العميل'!P30</f>
        <v/>
      </c>
      <c r="I30" s="164">
        <f>'1. بيانات العميل'!Q30</f>
        <v/>
      </c>
      <c r="J30" s="162">
        <f>IF(OR(G30="نعم",H30="نعم",I30="نعم"),0,20)</f>
        <v/>
      </c>
      <c r="K30" s="164">
        <f>'3. التنفيذات'!K30</f>
        <v/>
      </c>
      <c r="L30" s="159">
        <f>'3. التنفيذات'!L30</f>
        <v/>
      </c>
      <c r="M30" s="162">
        <f>IF(K30=0,20,IF(OR(K30&gt;8,L30&gt;100000),0,IF(OR(K30&gt;5,L30&gt;50000),5,IF(OR(K30&gt;3,L30&gt;25000),10,15))))</f>
        <v/>
      </c>
      <c r="N30" s="164">
        <f>'1. بيانات العميل'!H30</f>
        <v/>
      </c>
      <c r="O30" s="162">
        <f>IF(N30="حكومي",15,IF(N30="شبه حكومي",10,IF(N30="خاص كبير",8,IF(N30="متقاعد",5,5))))</f>
        <v/>
      </c>
      <c r="P30" s="166">
        <f>IFERROR(D30+F30+J30+M30+O30,0)</f>
        <v/>
      </c>
      <c r="Q30" s="167">
        <f>IFERROR(P30/105,0)</f>
        <v/>
      </c>
      <c r="R30" s="168">
        <f>IF(P30="","",IF(P30&gt;=85,"A",IF(P30&gt;=70,"B",IF(P30&gt;=55,"C","D"))))</f>
        <v/>
      </c>
      <c r="S30" s="162">
        <f>IF(B30="","",IF(OR(G30="نعم",H30="نعم",I30="نعم",K30&gt;8,L30&gt;100000,'3. التنفيذات'!G30&gt;3,C30&lt;550,E30&gt;0.7),"🔴 مرفوض - سياسة مباشرة",IF(R30="A","🟢 مؤهل",IF(R30="B","🟡 مؤهل بتحفظ",IF(R30="C","🟠 يحتاج استثناء","🔴 مرفوض")))))</f>
        <v/>
      </c>
    </row>
    <row r="31" ht="15" customHeight="1" s="104">
      <c r="A31" s="149">
        <f>'1. بيانات العميل'!A31</f>
        <v/>
      </c>
      <c r="B31" s="156">
        <f>'1. بيانات العميل'!C31</f>
        <v/>
      </c>
      <c r="C31" s="164">
        <f>'1. بيانات العميل'!M31</f>
        <v/>
      </c>
      <c r="D31" s="162">
        <f>IF(C31="","",IF(C31&gt;=750,25,IF(C31&gt;=700,20,IF(C31&gt;=650,15,IF(C31&gt;=600,10,IF(C31&gt;=550,5,0))))))</f>
        <v/>
      </c>
      <c r="E31" s="165">
        <f>'2. الالتزامات'!N31</f>
        <v/>
      </c>
      <c r="F31" s="162">
        <f>IF(E31="","",IF(E31&lt;=0.3,25,IF(E31&lt;=0.4,20,IF(E31&lt;=0.5,15,IF(E31&lt;=0.6,10,IF(E31&lt;=0.7,5,0))))))</f>
        <v/>
      </c>
      <c r="G31" s="164">
        <f>'1. بيانات العميل'!O31</f>
        <v/>
      </c>
      <c r="H31" s="164">
        <f>'1. بيانات العميل'!P31</f>
        <v/>
      </c>
      <c r="I31" s="164">
        <f>'1. بيانات العميل'!Q31</f>
        <v/>
      </c>
      <c r="J31" s="162">
        <f>IF(OR(G31="نعم",H31="نعم",I31="نعم"),0,20)</f>
        <v/>
      </c>
      <c r="K31" s="164">
        <f>'3. التنفيذات'!K31</f>
        <v/>
      </c>
      <c r="L31" s="159">
        <f>'3. التنفيذات'!L31</f>
        <v/>
      </c>
      <c r="M31" s="162">
        <f>IF(K31=0,20,IF(OR(K31&gt;8,L31&gt;100000),0,IF(OR(K31&gt;5,L31&gt;50000),5,IF(OR(K31&gt;3,L31&gt;25000),10,15))))</f>
        <v/>
      </c>
      <c r="N31" s="164">
        <f>'1. بيانات العميل'!H31</f>
        <v/>
      </c>
      <c r="O31" s="162">
        <f>IF(N31="حكومي",15,IF(N31="شبه حكومي",10,IF(N31="خاص كبير",8,IF(N31="متقاعد",5,5))))</f>
        <v/>
      </c>
      <c r="P31" s="166">
        <f>IFERROR(D31+F31+J31+M31+O31,0)</f>
        <v/>
      </c>
      <c r="Q31" s="167">
        <f>IFERROR(P31/105,0)</f>
        <v/>
      </c>
      <c r="R31" s="168">
        <f>IF(P31="","",IF(P31&gt;=85,"A",IF(P31&gt;=70,"B",IF(P31&gt;=55,"C","D"))))</f>
        <v/>
      </c>
      <c r="S31" s="162">
        <f>IF(B31="","",IF(OR(G31="نعم",H31="نعم",I31="نعم",K31&gt;8,L31&gt;100000,'3. التنفيذات'!G31&gt;3,C31&lt;550,E31&gt;0.7),"🔴 مرفوض - سياسة مباشرة",IF(R31="A","🟢 مؤهل",IF(R31="B","🟡 مؤهل بتحفظ",IF(R31="C","🟠 يحتاج استثناء","🔴 مرفوض")))))</f>
        <v/>
      </c>
    </row>
    <row r="32" ht="15" customHeight="1" s="104">
      <c r="A32" s="149">
        <f>'1. بيانات العميل'!A32</f>
        <v/>
      </c>
      <c r="B32" s="156">
        <f>'1. بيانات العميل'!C32</f>
        <v/>
      </c>
      <c r="C32" s="164">
        <f>'1. بيانات العميل'!M32</f>
        <v/>
      </c>
      <c r="D32" s="162">
        <f>IF(C32="","",IF(C32&gt;=750,25,IF(C32&gt;=700,20,IF(C32&gt;=650,15,IF(C32&gt;=600,10,IF(C32&gt;=550,5,0))))))</f>
        <v/>
      </c>
      <c r="E32" s="165">
        <f>'2. الالتزامات'!N32</f>
        <v/>
      </c>
      <c r="F32" s="162">
        <f>IF(E32="","",IF(E32&lt;=0.3,25,IF(E32&lt;=0.4,20,IF(E32&lt;=0.5,15,IF(E32&lt;=0.6,10,IF(E32&lt;=0.7,5,0))))))</f>
        <v/>
      </c>
      <c r="G32" s="164">
        <f>'1. بيانات العميل'!O32</f>
        <v/>
      </c>
      <c r="H32" s="164">
        <f>'1. بيانات العميل'!P32</f>
        <v/>
      </c>
      <c r="I32" s="164">
        <f>'1. بيانات العميل'!Q32</f>
        <v/>
      </c>
      <c r="J32" s="162">
        <f>IF(OR(G32="نعم",H32="نعم",I32="نعم"),0,20)</f>
        <v/>
      </c>
      <c r="K32" s="164">
        <f>'3. التنفيذات'!K32</f>
        <v/>
      </c>
      <c r="L32" s="159">
        <f>'3. التنفيذات'!L32</f>
        <v/>
      </c>
      <c r="M32" s="162">
        <f>IF(K32=0,20,IF(OR(K32&gt;8,L32&gt;100000),0,IF(OR(K32&gt;5,L32&gt;50000),5,IF(OR(K32&gt;3,L32&gt;25000),10,15))))</f>
        <v/>
      </c>
      <c r="N32" s="164">
        <f>'1. بيانات العميل'!H32</f>
        <v/>
      </c>
      <c r="O32" s="162">
        <f>IF(N32="حكومي",15,IF(N32="شبه حكومي",10,IF(N32="خاص كبير",8,IF(N32="متقاعد",5,5))))</f>
        <v/>
      </c>
      <c r="P32" s="166">
        <f>IFERROR(D32+F32+J32+M32+O32,0)</f>
        <v/>
      </c>
      <c r="Q32" s="167">
        <f>IFERROR(P32/105,0)</f>
        <v/>
      </c>
      <c r="R32" s="168">
        <f>IF(P32="","",IF(P32&gt;=85,"A",IF(P32&gt;=70,"B",IF(P32&gt;=55,"C","D"))))</f>
        <v/>
      </c>
      <c r="S32" s="162">
        <f>IF(B32="","",IF(OR(G32="نعم",H32="نعم",I32="نعم",K32&gt;8,L32&gt;100000,'3. التنفيذات'!G32&gt;3,C32&lt;550,E32&gt;0.7),"🔴 مرفوض - سياسة مباشرة",IF(R32="A","🟢 مؤهل",IF(R32="B","🟡 مؤهل بتحفظ",IF(R32="C","🟠 يحتاج استثناء","🔴 مرفوض")))))</f>
        <v/>
      </c>
    </row>
    <row r="33" ht="15" customHeight="1" s="104">
      <c r="A33" s="149">
        <f>'1. بيانات العميل'!A33</f>
        <v/>
      </c>
      <c r="B33" s="156">
        <f>'1. بيانات العميل'!C33</f>
        <v/>
      </c>
      <c r="C33" s="164">
        <f>'1. بيانات العميل'!M33</f>
        <v/>
      </c>
      <c r="D33" s="162">
        <f>IF(C33="","",IF(C33&gt;=750,25,IF(C33&gt;=700,20,IF(C33&gt;=650,15,IF(C33&gt;=600,10,IF(C33&gt;=550,5,0))))))</f>
        <v/>
      </c>
      <c r="E33" s="165">
        <f>'2. الالتزامات'!N33</f>
        <v/>
      </c>
      <c r="F33" s="162">
        <f>IF(E33="","",IF(E33&lt;=0.3,25,IF(E33&lt;=0.4,20,IF(E33&lt;=0.5,15,IF(E33&lt;=0.6,10,IF(E33&lt;=0.7,5,0))))))</f>
        <v/>
      </c>
      <c r="G33" s="164">
        <f>'1. بيانات العميل'!O33</f>
        <v/>
      </c>
      <c r="H33" s="164">
        <f>'1. بيانات العميل'!P33</f>
        <v/>
      </c>
      <c r="I33" s="164">
        <f>'1. بيانات العميل'!Q33</f>
        <v/>
      </c>
      <c r="J33" s="162">
        <f>IF(OR(G33="نعم",H33="نعم",I33="نعم"),0,20)</f>
        <v/>
      </c>
      <c r="K33" s="164">
        <f>'3. التنفيذات'!K33</f>
        <v/>
      </c>
      <c r="L33" s="159">
        <f>'3. التنفيذات'!L33</f>
        <v/>
      </c>
      <c r="M33" s="162">
        <f>IF(K33=0,20,IF(OR(K33&gt;8,L33&gt;100000),0,IF(OR(K33&gt;5,L33&gt;50000),5,IF(OR(K33&gt;3,L33&gt;25000),10,15))))</f>
        <v/>
      </c>
      <c r="N33" s="164">
        <f>'1. بيانات العميل'!H33</f>
        <v/>
      </c>
      <c r="O33" s="162">
        <f>IF(N33="حكومي",15,IF(N33="شبه حكومي",10,IF(N33="خاص كبير",8,IF(N33="متقاعد",5,5))))</f>
        <v/>
      </c>
      <c r="P33" s="166">
        <f>IFERROR(D33+F33+J33+M33+O33,0)</f>
        <v/>
      </c>
      <c r="Q33" s="167">
        <f>IFERROR(P33/105,0)</f>
        <v/>
      </c>
      <c r="R33" s="168">
        <f>IF(P33="","",IF(P33&gt;=85,"A",IF(P33&gt;=70,"B",IF(P33&gt;=55,"C","D"))))</f>
        <v/>
      </c>
      <c r="S33" s="162">
        <f>IF(B33="","",IF(OR(G33="نعم",H33="نعم",I33="نعم",K33&gt;8,L33&gt;100000,'3. التنفيذات'!G33&gt;3,C33&lt;550,E33&gt;0.7),"🔴 مرفوض - سياسة مباشرة",IF(R33="A","🟢 مؤهل",IF(R33="B","🟡 مؤهل بتحفظ",IF(R33="C","🟠 يحتاج استثناء","🔴 مرفوض")))))</f>
        <v/>
      </c>
    </row>
    <row r="34" ht="15" customHeight="1" s="104">
      <c r="A34" s="149">
        <f>'1. بيانات العميل'!A34</f>
        <v/>
      </c>
      <c r="B34" s="156">
        <f>'1. بيانات العميل'!C34</f>
        <v/>
      </c>
      <c r="C34" s="164">
        <f>'1. بيانات العميل'!M34</f>
        <v/>
      </c>
      <c r="D34" s="162">
        <f>IF(C34="","",IF(C34&gt;=750,25,IF(C34&gt;=700,20,IF(C34&gt;=650,15,IF(C34&gt;=600,10,IF(C34&gt;=550,5,0))))))</f>
        <v/>
      </c>
      <c r="E34" s="165">
        <f>'2. الالتزامات'!N34</f>
        <v/>
      </c>
      <c r="F34" s="162">
        <f>IF(E34="","",IF(E34&lt;=0.3,25,IF(E34&lt;=0.4,20,IF(E34&lt;=0.5,15,IF(E34&lt;=0.6,10,IF(E34&lt;=0.7,5,0))))))</f>
        <v/>
      </c>
      <c r="G34" s="164">
        <f>'1. بيانات العميل'!O34</f>
        <v/>
      </c>
      <c r="H34" s="164">
        <f>'1. بيانات العميل'!P34</f>
        <v/>
      </c>
      <c r="I34" s="164">
        <f>'1. بيانات العميل'!Q34</f>
        <v/>
      </c>
      <c r="J34" s="162">
        <f>IF(OR(G34="نعم",H34="نعم",I34="نعم"),0,20)</f>
        <v/>
      </c>
      <c r="K34" s="164">
        <f>'3. التنفيذات'!K34</f>
        <v/>
      </c>
      <c r="L34" s="159">
        <f>'3. التنفيذات'!L34</f>
        <v/>
      </c>
      <c r="M34" s="162">
        <f>IF(K34=0,20,IF(OR(K34&gt;8,L34&gt;100000),0,IF(OR(K34&gt;5,L34&gt;50000),5,IF(OR(K34&gt;3,L34&gt;25000),10,15))))</f>
        <v/>
      </c>
      <c r="N34" s="164">
        <f>'1. بيانات العميل'!H34</f>
        <v/>
      </c>
      <c r="O34" s="162">
        <f>IF(N34="حكومي",15,IF(N34="شبه حكومي",10,IF(N34="خاص كبير",8,IF(N34="متقاعد",5,5))))</f>
        <v/>
      </c>
      <c r="P34" s="166">
        <f>IFERROR(D34+F34+J34+M34+O34,0)</f>
        <v/>
      </c>
      <c r="Q34" s="167">
        <f>IFERROR(P34/105,0)</f>
        <v/>
      </c>
      <c r="R34" s="168">
        <f>IF(P34="","",IF(P34&gt;=85,"A",IF(P34&gt;=70,"B",IF(P34&gt;=55,"C","D"))))</f>
        <v/>
      </c>
      <c r="S34" s="162">
        <f>IF(B34="","",IF(OR(G34="نعم",H34="نعم",I34="نعم",K34&gt;8,L34&gt;100000,'3. التنفيذات'!G34&gt;3,C34&lt;550,E34&gt;0.7),"🔴 مرفوض - سياسة مباشرة",IF(R34="A","🟢 مؤهل",IF(R34="B","🟡 مؤهل بتحفظ",IF(R34="C","🟠 يحتاج استثناء","🔴 مرفوض")))))</f>
        <v/>
      </c>
    </row>
    <row r="35" ht="15" customHeight="1" s="104">
      <c r="A35" s="149">
        <f>'1. بيانات العميل'!A35</f>
        <v/>
      </c>
      <c r="B35" s="156">
        <f>'1. بيانات العميل'!C35</f>
        <v/>
      </c>
      <c r="C35" s="164">
        <f>'1. بيانات العميل'!M35</f>
        <v/>
      </c>
      <c r="D35" s="162">
        <f>IF(C35="","",IF(C35&gt;=750,25,IF(C35&gt;=700,20,IF(C35&gt;=650,15,IF(C35&gt;=600,10,IF(C35&gt;=550,5,0))))))</f>
        <v/>
      </c>
      <c r="E35" s="165">
        <f>'2. الالتزامات'!N35</f>
        <v/>
      </c>
      <c r="F35" s="162">
        <f>IF(E35="","",IF(E35&lt;=0.3,25,IF(E35&lt;=0.4,20,IF(E35&lt;=0.5,15,IF(E35&lt;=0.6,10,IF(E35&lt;=0.7,5,0))))))</f>
        <v/>
      </c>
      <c r="G35" s="164">
        <f>'1. بيانات العميل'!O35</f>
        <v/>
      </c>
      <c r="H35" s="164">
        <f>'1. بيانات العميل'!P35</f>
        <v/>
      </c>
      <c r="I35" s="164">
        <f>'1. بيانات العميل'!Q35</f>
        <v/>
      </c>
      <c r="J35" s="162">
        <f>IF(OR(G35="نعم",H35="نعم",I35="نعم"),0,20)</f>
        <v/>
      </c>
      <c r="K35" s="164">
        <f>'3. التنفيذات'!K35</f>
        <v/>
      </c>
      <c r="L35" s="159">
        <f>'3. التنفيذات'!L35</f>
        <v/>
      </c>
      <c r="M35" s="162">
        <f>IF(K35=0,20,IF(OR(K35&gt;8,L35&gt;100000),0,IF(OR(K35&gt;5,L35&gt;50000),5,IF(OR(K35&gt;3,L35&gt;25000),10,15))))</f>
        <v/>
      </c>
      <c r="N35" s="164">
        <f>'1. بيانات العميل'!H35</f>
        <v/>
      </c>
      <c r="O35" s="162">
        <f>IF(N35="حكومي",15,IF(N35="شبه حكومي",10,IF(N35="خاص كبير",8,IF(N35="متقاعد",5,5))))</f>
        <v/>
      </c>
      <c r="P35" s="166">
        <f>IFERROR(D35+F35+J35+M35+O35,0)</f>
        <v/>
      </c>
      <c r="Q35" s="167">
        <f>IFERROR(P35/105,0)</f>
        <v/>
      </c>
      <c r="R35" s="168">
        <f>IF(P35="","",IF(P35&gt;=85,"A",IF(P35&gt;=70,"B",IF(P35&gt;=55,"C","D"))))</f>
        <v/>
      </c>
      <c r="S35" s="162">
        <f>IF(B35="","",IF(OR(G35="نعم",H35="نعم",I35="نعم",K35&gt;8,L35&gt;100000,'3. التنفيذات'!G35&gt;3,C35&lt;550,E35&gt;0.7),"🔴 مرفوض - سياسة مباشرة",IF(R35="A","🟢 مؤهل",IF(R35="B","🟡 مؤهل بتحفظ",IF(R35="C","🟠 يحتاج استثناء","🔴 مرفوض")))))</f>
        <v/>
      </c>
    </row>
    <row r="36" ht="15" customHeight="1" s="104">
      <c r="A36" s="149">
        <f>'1. بيانات العميل'!A36</f>
        <v/>
      </c>
      <c r="B36" s="156">
        <f>'1. بيانات العميل'!C36</f>
        <v/>
      </c>
      <c r="C36" s="164">
        <f>'1. بيانات العميل'!M36</f>
        <v/>
      </c>
      <c r="D36" s="162">
        <f>IF(C36="","",IF(C36&gt;=750,25,IF(C36&gt;=700,20,IF(C36&gt;=650,15,IF(C36&gt;=600,10,IF(C36&gt;=550,5,0))))))</f>
        <v/>
      </c>
      <c r="E36" s="165">
        <f>'2. الالتزامات'!N36</f>
        <v/>
      </c>
      <c r="F36" s="162">
        <f>IF(E36="","",IF(E36&lt;=0.3,25,IF(E36&lt;=0.4,20,IF(E36&lt;=0.5,15,IF(E36&lt;=0.6,10,IF(E36&lt;=0.7,5,0))))))</f>
        <v/>
      </c>
      <c r="G36" s="164">
        <f>'1. بيانات العميل'!O36</f>
        <v/>
      </c>
      <c r="H36" s="164">
        <f>'1. بيانات العميل'!P36</f>
        <v/>
      </c>
      <c r="I36" s="164">
        <f>'1. بيانات العميل'!Q36</f>
        <v/>
      </c>
      <c r="J36" s="162">
        <f>IF(OR(G36="نعم",H36="نعم",I36="نعم"),0,20)</f>
        <v/>
      </c>
      <c r="K36" s="164">
        <f>'3. التنفيذات'!K36</f>
        <v/>
      </c>
      <c r="L36" s="159">
        <f>'3. التنفيذات'!L36</f>
        <v/>
      </c>
      <c r="M36" s="162">
        <f>IF(K36=0,20,IF(OR(K36&gt;8,L36&gt;100000),0,IF(OR(K36&gt;5,L36&gt;50000),5,IF(OR(K36&gt;3,L36&gt;25000),10,15))))</f>
        <v/>
      </c>
      <c r="N36" s="164">
        <f>'1. بيانات العميل'!H36</f>
        <v/>
      </c>
      <c r="O36" s="162">
        <f>IF(N36="حكومي",15,IF(N36="شبه حكومي",10,IF(N36="خاص كبير",8,IF(N36="متقاعد",5,5))))</f>
        <v/>
      </c>
      <c r="P36" s="166">
        <f>IFERROR(D36+F36+J36+M36+O36,0)</f>
        <v/>
      </c>
      <c r="Q36" s="167">
        <f>IFERROR(P36/105,0)</f>
        <v/>
      </c>
      <c r="R36" s="168">
        <f>IF(P36="","",IF(P36&gt;=85,"A",IF(P36&gt;=70,"B",IF(P36&gt;=55,"C","D"))))</f>
        <v/>
      </c>
      <c r="S36" s="162">
        <f>IF(B36="","",IF(OR(G36="نعم",H36="نعم",I36="نعم",K36&gt;8,L36&gt;100000,'3. التنفيذات'!G36&gt;3,C36&lt;550,E36&gt;0.7),"🔴 مرفوض - سياسة مباشرة",IF(R36="A","🟢 مؤهل",IF(R36="B","🟡 مؤهل بتحفظ",IF(R36="C","🟠 يحتاج استثناء","🔴 مرفوض")))))</f>
        <v/>
      </c>
    </row>
    <row r="37" ht="15" customHeight="1" s="104">
      <c r="A37" s="149">
        <f>'1. بيانات العميل'!A37</f>
        <v/>
      </c>
      <c r="B37" s="156">
        <f>'1. بيانات العميل'!C37</f>
        <v/>
      </c>
      <c r="C37" s="164">
        <f>'1. بيانات العميل'!M37</f>
        <v/>
      </c>
      <c r="D37" s="162">
        <f>IF(C37="","",IF(C37&gt;=750,25,IF(C37&gt;=700,20,IF(C37&gt;=650,15,IF(C37&gt;=600,10,IF(C37&gt;=550,5,0))))))</f>
        <v/>
      </c>
      <c r="E37" s="165">
        <f>'2. الالتزامات'!N37</f>
        <v/>
      </c>
      <c r="F37" s="162">
        <f>IF(E37="","",IF(E37&lt;=0.3,25,IF(E37&lt;=0.4,20,IF(E37&lt;=0.5,15,IF(E37&lt;=0.6,10,IF(E37&lt;=0.7,5,0))))))</f>
        <v/>
      </c>
      <c r="G37" s="164">
        <f>'1. بيانات العميل'!O37</f>
        <v/>
      </c>
      <c r="H37" s="164">
        <f>'1. بيانات العميل'!P37</f>
        <v/>
      </c>
      <c r="I37" s="164">
        <f>'1. بيانات العميل'!Q37</f>
        <v/>
      </c>
      <c r="J37" s="162">
        <f>IF(OR(G37="نعم",H37="نعم",I37="نعم"),0,20)</f>
        <v/>
      </c>
      <c r="K37" s="164">
        <f>'3. التنفيذات'!K37</f>
        <v/>
      </c>
      <c r="L37" s="159">
        <f>'3. التنفيذات'!L37</f>
        <v/>
      </c>
      <c r="M37" s="162">
        <f>IF(K37=0,20,IF(OR(K37&gt;8,L37&gt;100000),0,IF(OR(K37&gt;5,L37&gt;50000),5,IF(OR(K37&gt;3,L37&gt;25000),10,15))))</f>
        <v/>
      </c>
      <c r="N37" s="164">
        <f>'1. بيانات العميل'!H37</f>
        <v/>
      </c>
      <c r="O37" s="162">
        <f>IF(N37="حكومي",15,IF(N37="شبه حكومي",10,IF(N37="خاص كبير",8,IF(N37="متقاعد",5,5))))</f>
        <v/>
      </c>
      <c r="P37" s="166">
        <f>IFERROR(D37+F37+J37+M37+O37,0)</f>
        <v/>
      </c>
      <c r="Q37" s="167">
        <f>IFERROR(P37/105,0)</f>
        <v/>
      </c>
      <c r="R37" s="168">
        <f>IF(P37="","",IF(P37&gt;=85,"A",IF(P37&gt;=70,"B",IF(P37&gt;=55,"C","D"))))</f>
        <v/>
      </c>
      <c r="S37" s="162">
        <f>IF(B37="","",IF(OR(G37="نعم",H37="نعم",I37="نعم",K37&gt;8,L37&gt;100000,'3. التنفيذات'!G37&gt;3,C37&lt;550,E37&gt;0.7),"🔴 مرفوض - سياسة مباشرة",IF(R37="A","🟢 مؤهل",IF(R37="B","🟡 مؤهل بتحفظ",IF(R37="C","🟠 يحتاج استثناء","🔴 مرفوض")))))</f>
        <v/>
      </c>
    </row>
    <row r="38" ht="15" customHeight="1" s="104">
      <c r="A38" s="149">
        <f>'1. بيانات العميل'!A38</f>
        <v/>
      </c>
      <c r="B38" s="156">
        <f>'1. بيانات العميل'!C38</f>
        <v/>
      </c>
      <c r="C38" s="164">
        <f>'1. بيانات العميل'!M38</f>
        <v/>
      </c>
      <c r="D38" s="162">
        <f>IF(C38="","",IF(C38&gt;=750,25,IF(C38&gt;=700,20,IF(C38&gt;=650,15,IF(C38&gt;=600,10,IF(C38&gt;=550,5,0))))))</f>
        <v/>
      </c>
      <c r="E38" s="165">
        <f>'2. الالتزامات'!N38</f>
        <v/>
      </c>
      <c r="F38" s="162">
        <f>IF(E38="","",IF(E38&lt;=0.3,25,IF(E38&lt;=0.4,20,IF(E38&lt;=0.5,15,IF(E38&lt;=0.6,10,IF(E38&lt;=0.7,5,0))))))</f>
        <v/>
      </c>
      <c r="G38" s="164">
        <f>'1. بيانات العميل'!O38</f>
        <v/>
      </c>
      <c r="H38" s="164">
        <f>'1. بيانات العميل'!P38</f>
        <v/>
      </c>
      <c r="I38" s="164">
        <f>'1. بيانات العميل'!Q38</f>
        <v/>
      </c>
      <c r="J38" s="162">
        <f>IF(OR(G38="نعم",H38="نعم",I38="نعم"),0,20)</f>
        <v/>
      </c>
      <c r="K38" s="164">
        <f>'3. التنفيذات'!K38</f>
        <v/>
      </c>
      <c r="L38" s="159">
        <f>'3. التنفيذات'!L38</f>
        <v/>
      </c>
      <c r="M38" s="162">
        <f>IF(K38=0,20,IF(OR(K38&gt;8,L38&gt;100000),0,IF(OR(K38&gt;5,L38&gt;50000),5,IF(OR(K38&gt;3,L38&gt;25000),10,15))))</f>
        <v/>
      </c>
      <c r="N38" s="164">
        <f>'1. بيانات العميل'!H38</f>
        <v/>
      </c>
      <c r="O38" s="162">
        <f>IF(N38="حكومي",15,IF(N38="شبه حكومي",10,IF(N38="خاص كبير",8,IF(N38="متقاعد",5,5))))</f>
        <v/>
      </c>
      <c r="P38" s="166">
        <f>IFERROR(D38+F38+J38+M38+O38,0)</f>
        <v/>
      </c>
      <c r="Q38" s="167">
        <f>IFERROR(P38/105,0)</f>
        <v/>
      </c>
      <c r="R38" s="168">
        <f>IF(P38="","",IF(P38&gt;=85,"A",IF(P38&gt;=70,"B",IF(P38&gt;=55,"C","D"))))</f>
        <v/>
      </c>
      <c r="S38" s="162">
        <f>IF(B38="","",IF(OR(G38="نعم",H38="نعم",I38="نعم",K38&gt;8,L38&gt;100000,'3. التنفيذات'!G38&gt;3,C38&lt;550,E38&gt;0.7),"🔴 مرفوض - سياسة مباشرة",IF(R38="A","🟢 مؤهل",IF(R38="B","🟡 مؤهل بتحفظ",IF(R38="C","🟠 يحتاج استثناء","🔴 مرفوض")))))</f>
        <v/>
      </c>
    </row>
    <row r="39" ht="15" customHeight="1" s="104">
      <c r="A39" s="149">
        <f>'1. بيانات العميل'!A39</f>
        <v/>
      </c>
      <c r="B39" s="156">
        <f>'1. بيانات العميل'!C39</f>
        <v/>
      </c>
      <c r="C39" s="164">
        <f>'1. بيانات العميل'!M39</f>
        <v/>
      </c>
      <c r="D39" s="162">
        <f>IF(C39="","",IF(C39&gt;=750,25,IF(C39&gt;=700,20,IF(C39&gt;=650,15,IF(C39&gt;=600,10,IF(C39&gt;=550,5,0))))))</f>
        <v/>
      </c>
      <c r="E39" s="165">
        <f>'2. الالتزامات'!N39</f>
        <v/>
      </c>
      <c r="F39" s="162">
        <f>IF(E39="","",IF(E39&lt;=0.3,25,IF(E39&lt;=0.4,20,IF(E39&lt;=0.5,15,IF(E39&lt;=0.6,10,IF(E39&lt;=0.7,5,0))))))</f>
        <v/>
      </c>
      <c r="G39" s="164">
        <f>'1. بيانات العميل'!O39</f>
        <v/>
      </c>
      <c r="H39" s="164">
        <f>'1. بيانات العميل'!P39</f>
        <v/>
      </c>
      <c r="I39" s="164">
        <f>'1. بيانات العميل'!Q39</f>
        <v/>
      </c>
      <c r="J39" s="162">
        <f>IF(OR(G39="نعم",H39="نعم",I39="نعم"),0,20)</f>
        <v/>
      </c>
      <c r="K39" s="164">
        <f>'3. التنفيذات'!K39</f>
        <v/>
      </c>
      <c r="L39" s="159">
        <f>'3. التنفيذات'!L39</f>
        <v/>
      </c>
      <c r="M39" s="162">
        <f>IF(K39=0,20,IF(OR(K39&gt;8,L39&gt;100000),0,IF(OR(K39&gt;5,L39&gt;50000),5,IF(OR(K39&gt;3,L39&gt;25000),10,15))))</f>
        <v/>
      </c>
      <c r="N39" s="164">
        <f>'1. بيانات العميل'!H39</f>
        <v/>
      </c>
      <c r="O39" s="162">
        <f>IF(N39="حكومي",15,IF(N39="شبه حكومي",10,IF(N39="خاص كبير",8,IF(N39="متقاعد",5,5))))</f>
        <v/>
      </c>
      <c r="P39" s="166">
        <f>IFERROR(D39+F39+J39+M39+O39,0)</f>
        <v/>
      </c>
      <c r="Q39" s="167">
        <f>IFERROR(P39/105,0)</f>
        <v/>
      </c>
      <c r="R39" s="168">
        <f>IF(P39="","",IF(P39&gt;=85,"A",IF(P39&gt;=70,"B",IF(P39&gt;=55,"C","D"))))</f>
        <v/>
      </c>
      <c r="S39" s="162">
        <f>IF(B39="","",IF(OR(G39="نعم",H39="نعم",I39="نعم",K39&gt;8,L39&gt;100000,'3. التنفيذات'!G39&gt;3,C39&lt;550,E39&gt;0.7),"🔴 مرفوض - سياسة مباشرة",IF(R39="A","🟢 مؤهل",IF(R39="B","🟡 مؤهل بتحفظ",IF(R39="C","🟠 يحتاج استثناء","🔴 مرفوض")))))</f>
        <v/>
      </c>
    </row>
    <row r="40" ht="15" customHeight="1" s="104">
      <c r="A40" s="149">
        <f>'1. بيانات العميل'!A40</f>
        <v/>
      </c>
      <c r="B40" s="156">
        <f>'1. بيانات العميل'!C40</f>
        <v/>
      </c>
      <c r="C40" s="164">
        <f>'1. بيانات العميل'!M40</f>
        <v/>
      </c>
      <c r="D40" s="162">
        <f>IF(C40="","",IF(C40&gt;=750,25,IF(C40&gt;=700,20,IF(C40&gt;=650,15,IF(C40&gt;=600,10,IF(C40&gt;=550,5,0))))))</f>
        <v/>
      </c>
      <c r="E40" s="165">
        <f>'2. الالتزامات'!N40</f>
        <v/>
      </c>
      <c r="F40" s="162">
        <f>IF(E40="","",IF(E40&lt;=0.3,25,IF(E40&lt;=0.4,20,IF(E40&lt;=0.5,15,IF(E40&lt;=0.6,10,IF(E40&lt;=0.7,5,0))))))</f>
        <v/>
      </c>
      <c r="G40" s="164">
        <f>'1. بيانات العميل'!O40</f>
        <v/>
      </c>
      <c r="H40" s="164">
        <f>'1. بيانات العميل'!P40</f>
        <v/>
      </c>
      <c r="I40" s="164">
        <f>'1. بيانات العميل'!Q40</f>
        <v/>
      </c>
      <c r="J40" s="162">
        <f>IF(OR(G40="نعم",H40="نعم",I40="نعم"),0,20)</f>
        <v/>
      </c>
      <c r="K40" s="164">
        <f>'3. التنفيذات'!K40</f>
        <v/>
      </c>
      <c r="L40" s="159">
        <f>'3. التنفيذات'!L40</f>
        <v/>
      </c>
      <c r="M40" s="162">
        <f>IF(K40=0,20,IF(OR(K40&gt;8,L40&gt;100000),0,IF(OR(K40&gt;5,L40&gt;50000),5,IF(OR(K40&gt;3,L40&gt;25000),10,15))))</f>
        <v/>
      </c>
      <c r="N40" s="164">
        <f>'1. بيانات العميل'!H40</f>
        <v/>
      </c>
      <c r="O40" s="162">
        <f>IF(N40="حكومي",15,IF(N40="شبه حكومي",10,IF(N40="خاص كبير",8,IF(N40="متقاعد",5,5))))</f>
        <v/>
      </c>
      <c r="P40" s="166">
        <f>IFERROR(D40+F40+J40+M40+O40,0)</f>
        <v/>
      </c>
      <c r="Q40" s="167">
        <f>IFERROR(P40/105,0)</f>
        <v/>
      </c>
      <c r="R40" s="168">
        <f>IF(P40="","",IF(P40&gt;=85,"A",IF(P40&gt;=70,"B",IF(P40&gt;=55,"C","D"))))</f>
        <v/>
      </c>
      <c r="S40" s="162">
        <f>IF(B40="","",IF(OR(G40="نعم",H40="نعم",I40="نعم",K40&gt;8,L40&gt;100000,'3. التنفيذات'!G40&gt;3,C40&lt;550,E40&gt;0.7),"🔴 مرفوض - سياسة مباشرة",IF(R40="A","🟢 مؤهل",IF(R40="B","🟡 مؤهل بتحفظ",IF(R40="C","🟠 يحتاج استثناء","🔴 مرفوض")))))</f>
        <v/>
      </c>
    </row>
    <row r="41" ht="15" customHeight="1" s="104">
      <c r="A41" s="149">
        <f>'1. بيانات العميل'!A41</f>
        <v/>
      </c>
      <c r="B41" s="156">
        <f>'1. بيانات العميل'!C41</f>
        <v/>
      </c>
      <c r="C41" s="164">
        <f>'1. بيانات العميل'!M41</f>
        <v/>
      </c>
      <c r="D41" s="162">
        <f>IF(C41="","",IF(C41&gt;=750,25,IF(C41&gt;=700,20,IF(C41&gt;=650,15,IF(C41&gt;=600,10,IF(C41&gt;=550,5,0))))))</f>
        <v/>
      </c>
      <c r="E41" s="165">
        <f>'2. الالتزامات'!N41</f>
        <v/>
      </c>
      <c r="F41" s="162">
        <f>IF(E41="","",IF(E41&lt;=0.3,25,IF(E41&lt;=0.4,20,IF(E41&lt;=0.5,15,IF(E41&lt;=0.6,10,IF(E41&lt;=0.7,5,0))))))</f>
        <v/>
      </c>
      <c r="G41" s="164">
        <f>'1. بيانات العميل'!O41</f>
        <v/>
      </c>
      <c r="H41" s="164">
        <f>'1. بيانات العميل'!P41</f>
        <v/>
      </c>
      <c r="I41" s="164">
        <f>'1. بيانات العميل'!Q41</f>
        <v/>
      </c>
      <c r="J41" s="162">
        <f>IF(OR(G41="نعم",H41="نعم",I41="نعم"),0,20)</f>
        <v/>
      </c>
      <c r="K41" s="164">
        <f>'3. التنفيذات'!K41</f>
        <v/>
      </c>
      <c r="L41" s="159">
        <f>'3. التنفيذات'!L41</f>
        <v/>
      </c>
      <c r="M41" s="162">
        <f>IF(K41=0,20,IF(OR(K41&gt;8,L41&gt;100000),0,IF(OR(K41&gt;5,L41&gt;50000),5,IF(OR(K41&gt;3,L41&gt;25000),10,15))))</f>
        <v/>
      </c>
      <c r="N41" s="164">
        <f>'1. بيانات العميل'!H41</f>
        <v/>
      </c>
      <c r="O41" s="162">
        <f>IF(N41="حكومي",15,IF(N41="شبه حكومي",10,IF(N41="خاص كبير",8,IF(N41="متقاعد",5,5))))</f>
        <v/>
      </c>
      <c r="P41" s="166">
        <f>IFERROR(D41+F41+J41+M41+O41,0)</f>
        <v/>
      </c>
      <c r="Q41" s="167">
        <f>IFERROR(P41/105,0)</f>
        <v/>
      </c>
      <c r="R41" s="168">
        <f>IF(P41="","",IF(P41&gt;=85,"A",IF(P41&gt;=70,"B",IF(P41&gt;=55,"C","D"))))</f>
        <v/>
      </c>
      <c r="S41" s="162">
        <f>IF(B41="","",IF(OR(G41="نعم",H41="نعم",I41="نعم",K41&gt;8,L41&gt;100000,'3. التنفيذات'!G41&gt;3,C41&lt;550,E41&gt;0.7),"🔴 مرفوض - سياسة مباشرة",IF(R41="A","🟢 مؤهل",IF(R41="B","🟡 مؤهل بتحفظ",IF(R41="C","🟠 يحتاج استثناء","🔴 مرفوض")))))</f>
        <v/>
      </c>
    </row>
    <row r="42" ht="15" customHeight="1" s="104">
      <c r="A42" s="149">
        <f>'1. بيانات العميل'!A42</f>
        <v/>
      </c>
      <c r="B42" s="156">
        <f>'1. بيانات العميل'!C42</f>
        <v/>
      </c>
      <c r="C42" s="164">
        <f>'1. بيانات العميل'!M42</f>
        <v/>
      </c>
      <c r="D42" s="162">
        <f>IF(C42="","",IF(C42&gt;=750,25,IF(C42&gt;=700,20,IF(C42&gt;=650,15,IF(C42&gt;=600,10,IF(C42&gt;=550,5,0))))))</f>
        <v/>
      </c>
      <c r="E42" s="165">
        <f>'2. الالتزامات'!N42</f>
        <v/>
      </c>
      <c r="F42" s="162">
        <f>IF(E42="","",IF(E42&lt;=0.3,25,IF(E42&lt;=0.4,20,IF(E42&lt;=0.5,15,IF(E42&lt;=0.6,10,IF(E42&lt;=0.7,5,0))))))</f>
        <v/>
      </c>
      <c r="G42" s="164">
        <f>'1. بيانات العميل'!O42</f>
        <v/>
      </c>
      <c r="H42" s="164">
        <f>'1. بيانات العميل'!P42</f>
        <v/>
      </c>
      <c r="I42" s="164">
        <f>'1. بيانات العميل'!Q42</f>
        <v/>
      </c>
      <c r="J42" s="162">
        <f>IF(OR(G42="نعم",H42="نعم",I42="نعم"),0,20)</f>
        <v/>
      </c>
      <c r="K42" s="164">
        <f>'3. التنفيذات'!K42</f>
        <v/>
      </c>
      <c r="L42" s="159">
        <f>'3. التنفيذات'!L42</f>
        <v/>
      </c>
      <c r="M42" s="162">
        <f>IF(K42=0,20,IF(OR(K42&gt;8,L42&gt;100000),0,IF(OR(K42&gt;5,L42&gt;50000),5,IF(OR(K42&gt;3,L42&gt;25000),10,15))))</f>
        <v/>
      </c>
      <c r="N42" s="164">
        <f>'1. بيانات العميل'!H42</f>
        <v/>
      </c>
      <c r="O42" s="162">
        <f>IF(N42="حكومي",15,IF(N42="شبه حكومي",10,IF(N42="خاص كبير",8,IF(N42="متقاعد",5,5))))</f>
        <v/>
      </c>
      <c r="P42" s="166">
        <f>IFERROR(D42+F42+J42+M42+O42,0)</f>
        <v/>
      </c>
      <c r="Q42" s="167">
        <f>IFERROR(P42/105,0)</f>
        <v/>
      </c>
      <c r="R42" s="168">
        <f>IF(P42="","",IF(P42&gt;=85,"A",IF(P42&gt;=70,"B",IF(P42&gt;=55,"C","D"))))</f>
        <v/>
      </c>
      <c r="S42" s="162">
        <f>IF(B42="","",IF(OR(G42="نعم",H42="نعم",I42="نعم",K42&gt;8,L42&gt;100000,'3. التنفيذات'!G42&gt;3,C42&lt;550,E42&gt;0.7),"🔴 مرفوض - سياسة مباشرة",IF(R42="A","🟢 مؤهل",IF(R42="B","🟡 مؤهل بتحفظ",IF(R42="C","🟠 يحتاج استثناء","🔴 مرفوض")))))</f>
        <v/>
      </c>
    </row>
    <row r="43" ht="15" customHeight="1" s="104">
      <c r="A43" s="149">
        <f>'1. بيانات العميل'!A43</f>
        <v/>
      </c>
      <c r="B43" s="156">
        <f>'1. بيانات العميل'!C43</f>
        <v/>
      </c>
      <c r="C43" s="164">
        <f>'1. بيانات العميل'!M43</f>
        <v/>
      </c>
      <c r="D43" s="162">
        <f>IF(C43="","",IF(C43&gt;=750,25,IF(C43&gt;=700,20,IF(C43&gt;=650,15,IF(C43&gt;=600,10,IF(C43&gt;=550,5,0))))))</f>
        <v/>
      </c>
      <c r="E43" s="165">
        <f>'2. الالتزامات'!N43</f>
        <v/>
      </c>
      <c r="F43" s="162">
        <f>IF(E43="","",IF(E43&lt;=0.3,25,IF(E43&lt;=0.4,20,IF(E43&lt;=0.5,15,IF(E43&lt;=0.6,10,IF(E43&lt;=0.7,5,0))))))</f>
        <v/>
      </c>
      <c r="G43" s="164">
        <f>'1. بيانات العميل'!O43</f>
        <v/>
      </c>
      <c r="H43" s="164">
        <f>'1. بيانات العميل'!P43</f>
        <v/>
      </c>
      <c r="I43" s="164">
        <f>'1. بيانات العميل'!Q43</f>
        <v/>
      </c>
      <c r="J43" s="162">
        <f>IF(OR(G43="نعم",H43="نعم",I43="نعم"),0,20)</f>
        <v/>
      </c>
      <c r="K43" s="164">
        <f>'3. التنفيذات'!K43</f>
        <v/>
      </c>
      <c r="L43" s="159">
        <f>'3. التنفيذات'!L43</f>
        <v/>
      </c>
      <c r="M43" s="162">
        <f>IF(K43=0,20,IF(OR(K43&gt;8,L43&gt;100000),0,IF(OR(K43&gt;5,L43&gt;50000),5,IF(OR(K43&gt;3,L43&gt;25000),10,15))))</f>
        <v/>
      </c>
      <c r="N43" s="164">
        <f>'1. بيانات العميل'!H43</f>
        <v/>
      </c>
      <c r="O43" s="162">
        <f>IF(N43="حكومي",15,IF(N43="شبه حكومي",10,IF(N43="خاص كبير",8,IF(N43="متقاعد",5,5))))</f>
        <v/>
      </c>
      <c r="P43" s="166">
        <f>IFERROR(D43+F43+J43+M43+O43,0)</f>
        <v/>
      </c>
      <c r="Q43" s="167">
        <f>IFERROR(P43/105,0)</f>
        <v/>
      </c>
      <c r="R43" s="168">
        <f>IF(P43="","",IF(P43&gt;=85,"A",IF(P43&gt;=70,"B",IF(P43&gt;=55,"C","D"))))</f>
        <v/>
      </c>
      <c r="S43" s="162">
        <f>IF(B43="","",IF(OR(G43="نعم",H43="نعم",I43="نعم",K43&gt;8,L43&gt;100000,'3. التنفيذات'!G43&gt;3,C43&lt;550,E43&gt;0.7),"🔴 مرفوض - سياسة مباشرة",IF(R43="A","🟢 مؤهل",IF(R43="B","🟡 مؤهل بتحفظ",IF(R43="C","🟠 يحتاج استثناء","🔴 مرفوض")))))</f>
        <v/>
      </c>
    </row>
    <row r="44" ht="15" customHeight="1" s="104">
      <c r="A44" s="149">
        <f>'1. بيانات العميل'!A44</f>
        <v/>
      </c>
      <c r="B44" s="156">
        <f>'1. بيانات العميل'!C44</f>
        <v/>
      </c>
      <c r="C44" s="164">
        <f>'1. بيانات العميل'!M44</f>
        <v/>
      </c>
      <c r="D44" s="162">
        <f>IF(C44="","",IF(C44&gt;=750,25,IF(C44&gt;=700,20,IF(C44&gt;=650,15,IF(C44&gt;=600,10,IF(C44&gt;=550,5,0))))))</f>
        <v/>
      </c>
      <c r="E44" s="165">
        <f>'2. الالتزامات'!N44</f>
        <v/>
      </c>
      <c r="F44" s="162">
        <f>IF(E44="","",IF(E44&lt;=0.3,25,IF(E44&lt;=0.4,20,IF(E44&lt;=0.5,15,IF(E44&lt;=0.6,10,IF(E44&lt;=0.7,5,0))))))</f>
        <v/>
      </c>
      <c r="G44" s="164">
        <f>'1. بيانات العميل'!O44</f>
        <v/>
      </c>
      <c r="H44" s="164">
        <f>'1. بيانات العميل'!P44</f>
        <v/>
      </c>
      <c r="I44" s="164">
        <f>'1. بيانات العميل'!Q44</f>
        <v/>
      </c>
      <c r="J44" s="162">
        <f>IF(OR(G44="نعم",H44="نعم",I44="نعم"),0,20)</f>
        <v/>
      </c>
      <c r="K44" s="164">
        <f>'3. التنفيذات'!K44</f>
        <v/>
      </c>
      <c r="L44" s="159">
        <f>'3. التنفيذات'!L44</f>
        <v/>
      </c>
      <c r="M44" s="162">
        <f>IF(K44=0,20,IF(OR(K44&gt;8,L44&gt;100000),0,IF(OR(K44&gt;5,L44&gt;50000),5,IF(OR(K44&gt;3,L44&gt;25000),10,15))))</f>
        <v/>
      </c>
      <c r="N44" s="164">
        <f>'1. بيانات العميل'!H44</f>
        <v/>
      </c>
      <c r="O44" s="162">
        <f>IF(N44="حكومي",15,IF(N44="شبه حكومي",10,IF(N44="خاص كبير",8,IF(N44="متقاعد",5,5))))</f>
        <v/>
      </c>
      <c r="P44" s="166">
        <f>IFERROR(D44+F44+J44+M44+O44,0)</f>
        <v/>
      </c>
      <c r="Q44" s="167">
        <f>IFERROR(P44/105,0)</f>
        <v/>
      </c>
      <c r="R44" s="168">
        <f>IF(P44="","",IF(P44&gt;=85,"A",IF(P44&gt;=70,"B",IF(P44&gt;=55,"C","D"))))</f>
        <v/>
      </c>
      <c r="S44" s="162">
        <f>IF(B44="","",IF(OR(G44="نعم",H44="نعم",I44="نعم",K44&gt;8,L44&gt;100000,'3. التنفيذات'!G44&gt;3,C44&lt;550,E44&gt;0.7),"🔴 مرفوض - سياسة مباشرة",IF(R44="A","🟢 مؤهل",IF(R44="B","🟡 مؤهل بتحفظ",IF(R44="C","🟠 يحتاج استثناء","🔴 مرفوض")))))</f>
        <v/>
      </c>
    </row>
    <row r="45" ht="15" customHeight="1" s="104">
      <c r="A45" s="149">
        <f>'1. بيانات العميل'!A45</f>
        <v/>
      </c>
      <c r="B45" s="156">
        <f>'1. بيانات العميل'!C45</f>
        <v/>
      </c>
      <c r="C45" s="164">
        <f>'1. بيانات العميل'!M45</f>
        <v/>
      </c>
      <c r="D45" s="162">
        <f>IF(C45="","",IF(C45&gt;=750,25,IF(C45&gt;=700,20,IF(C45&gt;=650,15,IF(C45&gt;=600,10,IF(C45&gt;=550,5,0))))))</f>
        <v/>
      </c>
      <c r="E45" s="165">
        <f>'2. الالتزامات'!N45</f>
        <v/>
      </c>
      <c r="F45" s="162">
        <f>IF(E45="","",IF(E45&lt;=0.3,25,IF(E45&lt;=0.4,20,IF(E45&lt;=0.5,15,IF(E45&lt;=0.6,10,IF(E45&lt;=0.7,5,0))))))</f>
        <v/>
      </c>
      <c r="G45" s="164">
        <f>'1. بيانات العميل'!O45</f>
        <v/>
      </c>
      <c r="H45" s="164">
        <f>'1. بيانات العميل'!P45</f>
        <v/>
      </c>
      <c r="I45" s="164">
        <f>'1. بيانات العميل'!Q45</f>
        <v/>
      </c>
      <c r="J45" s="162">
        <f>IF(OR(G45="نعم",H45="نعم",I45="نعم"),0,20)</f>
        <v/>
      </c>
      <c r="K45" s="164">
        <f>'3. التنفيذات'!K45</f>
        <v/>
      </c>
      <c r="L45" s="159">
        <f>'3. التنفيذات'!L45</f>
        <v/>
      </c>
      <c r="M45" s="162">
        <f>IF(K45=0,20,IF(OR(K45&gt;8,L45&gt;100000),0,IF(OR(K45&gt;5,L45&gt;50000),5,IF(OR(K45&gt;3,L45&gt;25000),10,15))))</f>
        <v/>
      </c>
      <c r="N45" s="164">
        <f>'1. بيانات العميل'!H45</f>
        <v/>
      </c>
      <c r="O45" s="162">
        <f>IF(N45="حكومي",15,IF(N45="شبه حكومي",10,IF(N45="خاص كبير",8,IF(N45="متقاعد",5,5))))</f>
        <v/>
      </c>
      <c r="P45" s="166">
        <f>IFERROR(D45+F45+J45+M45+O45,0)</f>
        <v/>
      </c>
      <c r="Q45" s="167">
        <f>IFERROR(P45/105,0)</f>
        <v/>
      </c>
      <c r="R45" s="168">
        <f>IF(P45="","",IF(P45&gt;=85,"A",IF(P45&gt;=70,"B",IF(P45&gt;=55,"C","D"))))</f>
        <v/>
      </c>
      <c r="S45" s="162">
        <f>IF(B45="","",IF(OR(G45="نعم",H45="نعم",I45="نعم",K45&gt;8,L45&gt;100000,'3. التنفيذات'!G45&gt;3,C45&lt;550,E45&gt;0.7),"🔴 مرفوض - سياسة مباشرة",IF(R45="A","🟢 مؤهل",IF(R45="B","🟡 مؤهل بتحفظ",IF(R45="C","🟠 يحتاج استثناء","🔴 مرفوض")))))</f>
        <v/>
      </c>
    </row>
    <row r="46" ht="15" customHeight="1" s="104">
      <c r="A46" s="149">
        <f>'1. بيانات العميل'!A46</f>
        <v/>
      </c>
      <c r="B46" s="156">
        <f>'1. بيانات العميل'!C46</f>
        <v/>
      </c>
      <c r="C46" s="164">
        <f>'1. بيانات العميل'!M46</f>
        <v/>
      </c>
      <c r="D46" s="162">
        <f>IF(C46="","",IF(C46&gt;=750,25,IF(C46&gt;=700,20,IF(C46&gt;=650,15,IF(C46&gt;=600,10,IF(C46&gt;=550,5,0))))))</f>
        <v/>
      </c>
      <c r="E46" s="165">
        <f>'2. الالتزامات'!N46</f>
        <v/>
      </c>
      <c r="F46" s="162">
        <f>IF(E46="","",IF(E46&lt;=0.3,25,IF(E46&lt;=0.4,20,IF(E46&lt;=0.5,15,IF(E46&lt;=0.6,10,IF(E46&lt;=0.7,5,0))))))</f>
        <v/>
      </c>
      <c r="G46" s="164">
        <f>'1. بيانات العميل'!O46</f>
        <v/>
      </c>
      <c r="H46" s="164">
        <f>'1. بيانات العميل'!P46</f>
        <v/>
      </c>
      <c r="I46" s="164">
        <f>'1. بيانات العميل'!Q46</f>
        <v/>
      </c>
      <c r="J46" s="162">
        <f>IF(OR(G46="نعم",H46="نعم",I46="نعم"),0,20)</f>
        <v/>
      </c>
      <c r="K46" s="164">
        <f>'3. التنفيذات'!K46</f>
        <v/>
      </c>
      <c r="L46" s="159">
        <f>'3. التنفيذات'!L46</f>
        <v/>
      </c>
      <c r="M46" s="162">
        <f>IF(K46=0,20,IF(OR(K46&gt;8,L46&gt;100000),0,IF(OR(K46&gt;5,L46&gt;50000),5,IF(OR(K46&gt;3,L46&gt;25000),10,15))))</f>
        <v/>
      </c>
      <c r="N46" s="164">
        <f>'1. بيانات العميل'!H46</f>
        <v/>
      </c>
      <c r="O46" s="162">
        <f>IF(N46="حكومي",15,IF(N46="شبه حكومي",10,IF(N46="خاص كبير",8,IF(N46="متقاعد",5,5))))</f>
        <v/>
      </c>
      <c r="P46" s="166">
        <f>IFERROR(D46+F46+J46+M46+O46,0)</f>
        <v/>
      </c>
      <c r="Q46" s="167">
        <f>IFERROR(P46/105,0)</f>
        <v/>
      </c>
      <c r="R46" s="168">
        <f>IF(P46="","",IF(P46&gt;=85,"A",IF(P46&gt;=70,"B",IF(P46&gt;=55,"C","D"))))</f>
        <v/>
      </c>
      <c r="S46" s="162">
        <f>IF(B46="","",IF(OR(G46="نعم",H46="نعم",I46="نعم",K46&gt;8,L46&gt;100000,'3. التنفيذات'!G46&gt;3,C46&lt;550,E46&gt;0.7),"🔴 مرفوض - سياسة مباشرة",IF(R46="A","🟢 مؤهل",IF(R46="B","🟡 مؤهل بتحفظ",IF(R46="C","🟠 يحتاج استثناء","🔴 مرفوض")))))</f>
        <v/>
      </c>
    </row>
    <row r="47" ht="15" customHeight="1" s="104">
      <c r="A47" s="149">
        <f>'1. بيانات العميل'!A47</f>
        <v/>
      </c>
      <c r="B47" s="156">
        <f>'1. بيانات العميل'!C47</f>
        <v/>
      </c>
      <c r="C47" s="164">
        <f>'1. بيانات العميل'!M47</f>
        <v/>
      </c>
      <c r="D47" s="162">
        <f>IF(C47="","",IF(C47&gt;=750,25,IF(C47&gt;=700,20,IF(C47&gt;=650,15,IF(C47&gt;=600,10,IF(C47&gt;=550,5,0))))))</f>
        <v/>
      </c>
      <c r="E47" s="165">
        <f>'2. الالتزامات'!N47</f>
        <v/>
      </c>
      <c r="F47" s="162">
        <f>IF(E47="","",IF(E47&lt;=0.3,25,IF(E47&lt;=0.4,20,IF(E47&lt;=0.5,15,IF(E47&lt;=0.6,10,IF(E47&lt;=0.7,5,0))))))</f>
        <v/>
      </c>
      <c r="G47" s="164">
        <f>'1. بيانات العميل'!O47</f>
        <v/>
      </c>
      <c r="H47" s="164">
        <f>'1. بيانات العميل'!P47</f>
        <v/>
      </c>
      <c r="I47" s="164">
        <f>'1. بيانات العميل'!Q47</f>
        <v/>
      </c>
      <c r="J47" s="162">
        <f>IF(OR(G47="نعم",H47="نعم",I47="نعم"),0,20)</f>
        <v/>
      </c>
      <c r="K47" s="164">
        <f>'3. التنفيذات'!K47</f>
        <v/>
      </c>
      <c r="L47" s="159">
        <f>'3. التنفيذات'!L47</f>
        <v/>
      </c>
      <c r="M47" s="162">
        <f>IF(K47=0,20,IF(OR(K47&gt;8,L47&gt;100000),0,IF(OR(K47&gt;5,L47&gt;50000),5,IF(OR(K47&gt;3,L47&gt;25000),10,15))))</f>
        <v/>
      </c>
      <c r="N47" s="164">
        <f>'1. بيانات العميل'!H47</f>
        <v/>
      </c>
      <c r="O47" s="162">
        <f>IF(N47="حكومي",15,IF(N47="شبه حكومي",10,IF(N47="خاص كبير",8,IF(N47="متقاعد",5,5))))</f>
        <v/>
      </c>
      <c r="P47" s="166">
        <f>IFERROR(D47+F47+J47+M47+O47,0)</f>
        <v/>
      </c>
      <c r="Q47" s="167">
        <f>IFERROR(P47/105,0)</f>
        <v/>
      </c>
      <c r="R47" s="168">
        <f>IF(P47="","",IF(P47&gt;=85,"A",IF(P47&gt;=70,"B",IF(P47&gt;=55,"C","D"))))</f>
        <v/>
      </c>
      <c r="S47" s="162">
        <f>IF(B47="","",IF(OR(G47="نعم",H47="نعم",I47="نعم",K47&gt;8,L47&gt;100000,'3. التنفيذات'!G47&gt;3,C47&lt;550,E47&gt;0.7),"🔴 مرفوض - سياسة مباشرة",IF(R47="A","🟢 مؤهل",IF(R47="B","🟡 مؤهل بتحفظ",IF(R47="C","🟠 يحتاج استثناء","🔴 مرفوض")))))</f>
        <v/>
      </c>
    </row>
    <row r="48" ht="15" customHeight="1" s="104">
      <c r="A48" s="149">
        <f>'1. بيانات العميل'!A48</f>
        <v/>
      </c>
      <c r="B48" s="156">
        <f>'1. بيانات العميل'!C48</f>
        <v/>
      </c>
      <c r="C48" s="164">
        <f>'1. بيانات العميل'!M48</f>
        <v/>
      </c>
      <c r="D48" s="162">
        <f>IF(C48="","",IF(C48&gt;=750,25,IF(C48&gt;=700,20,IF(C48&gt;=650,15,IF(C48&gt;=600,10,IF(C48&gt;=550,5,0))))))</f>
        <v/>
      </c>
      <c r="E48" s="165">
        <f>'2. الالتزامات'!N48</f>
        <v/>
      </c>
      <c r="F48" s="162">
        <f>IF(E48="","",IF(E48&lt;=0.3,25,IF(E48&lt;=0.4,20,IF(E48&lt;=0.5,15,IF(E48&lt;=0.6,10,IF(E48&lt;=0.7,5,0))))))</f>
        <v/>
      </c>
      <c r="G48" s="164">
        <f>'1. بيانات العميل'!O48</f>
        <v/>
      </c>
      <c r="H48" s="164">
        <f>'1. بيانات العميل'!P48</f>
        <v/>
      </c>
      <c r="I48" s="164">
        <f>'1. بيانات العميل'!Q48</f>
        <v/>
      </c>
      <c r="J48" s="162">
        <f>IF(OR(G48="نعم",H48="نعم",I48="نعم"),0,20)</f>
        <v/>
      </c>
      <c r="K48" s="164">
        <f>'3. التنفيذات'!K48</f>
        <v/>
      </c>
      <c r="L48" s="159">
        <f>'3. التنفيذات'!L48</f>
        <v/>
      </c>
      <c r="M48" s="162">
        <f>IF(K48=0,20,IF(OR(K48&gt;8,L48&gt;100000),0,IF(OR(K48&gt;5,L48&gt;50000),5,IF(OR(K48&gt;3,L48&gt;25000),10,15))))</f>
        <v/>
      </c>
      <c r="N48" s="164">
        <f>'1. بيانات العميل'!H48</f>
        <v/>
      </c>
      <c r="O48" s="162">
        <f>IF(N48="حكومي",15,IF(N48="شبه حكومي",10,IF(N48="خاص كبير",8,IF(N48="متقاعد",5,5))))</f>
        <v/>
      </c>
      <c r="P48" s="166">
        <f>IFERROR(D48+F48+J48+M48+O48,0)</f>
        <v/>
      </c>
      <c r="Q48" s="167">
        <f>IFERROR(P48/105,0)</f>
        <v/>
      </c>
      <c r="R48" s="168">
        <f>IF(P48="","",IF(P48&gt;=85,"A",IF(P48&gt;=70,"B",IF(P48&gt;=55,"C","D"))))</f>
        <v/>
      </c>
      <c r="S48" s="162">
        <f>IF(B48="","",IF(OR(G48="نعم",H48="نعم",I48="نعم",K48&gt;8,L48&gt;100000,'3. التنفيذات'!G48&gt;3,C48&lt;550,E48&gt;0.7),"🔴 مرفوض - سياسة مباشرة",IF(R48="A","🟢 مؤهل",IF(R48="B","🟡 مؤهل بتحفظ",IF(R48="C","🟠 يحتاج استثناء","🔴 مرفوض")))))</f>
        <v/>
      </c>
    </row>
    <row r="49" ht="15" customHeight="1" s="104">
      <c r="A49" s="149">
        <f>'1. بيانات العميل'!A49</f>
        <v/>
      </c>
      <c r="B49" s="156">
        <f>'1. بيانات العميل'!C49</f>
        <v/>
      </c>
      <c r="C49" s="164">
        <f>'1. بيانات العميل'!M49</f>
        <v/>
      </c>
      <c r="D49" s="162">
        <f>IF(C49="","",IF(C49&gt;=750,25,IF(C49&gt;=700,20,IF(C49&gt;=650,15,IF(C49&gt;=600,10,IF(C49&gt;=550,5,0))))))</f>
        <v/>
      </c>
      <c r="E49" s="165">
        <f>'2. الالتزامات'!N49</f>
        <v/>
      </c>
      <c r="F49" s="162">
        <f>IF(E49="","",IF(E49&lt;=0.3,25,IF(E49&lt;=0.4,20,IF(E49&lt;=0.5,15,IF(E49&lt;=0.6,10,IF(E49&lt;=0.7,5,0))))))</f>
        <v/>
      </c>
      <c r="G49" s="164">
        <f>'1. بيانات العميل'!O49</f>
        <v/>
      </c>
      <c r="H49" s="164">
        <f>'1. بيانات العميل'!P49</f>
        <v/>
      </c>
      <c r="I49" s="164">
        <f>'1. بيانات العميل'!Q49</f>
        <v/>
      </c>
      <c r="J49" s="162">
        <f>IF(OR(G49="نعم",H49="نعم",I49="نعم"),0,20)</f>
        <v/>
      </c>
      <c r="K49" s="164">
        <f>'3. التنفيذات'!K49</f>
        <v/>
      </c>
      <c r="L49" s="159">
        <f>'3. التنفيذات'!L49</f>
        <v/>
      </c>
      <c r="M49" s="162">
        <f>IF(K49=0,20,IF(OR(K49&gt;8,L49&gt;100000),0,IF(OR(K49&gt;5,L49&gt;50000),5,IF(OR(K49&gt;3,L49&gt;25000),10,15))))</f>
        <v/>
      </c>
      <c r="N49" s="164">
        <f>'1. بيانات العميل'!H49</f>
        <v/>
      </c>
      <c r="O49" s="162">
        <f>IF(N49="حكومي",15,IF(N49="شبه حكومي",10,IF(N49="خاص كبير",8,IF(N49="متقاعد",5,5))))</f>
        <v/>
      </c>
      <c r="P49" s="166">
        <f>IFERROR(D49+F49+J49+M49+O49,0)</f>
        <v/>
      </c>
      <c r="Q49" s="167">
        <f>IFERROR(P49/105,0)</f>
        <v/>
      </c>
      <c r="R49" s="168">
        <f>IF(P49="","",IF(P49&gt;=85,"A",IF(P49&gt;=70,"B",IF(P49&gt;=55,"C","D"))))</f>
        <v/>
      </c>
      <c r="S49" s="162">
        <f>IF(B49="","",IF(OR(G49="نعم",H49="نعم",I49="نعم",K49&gt;8,L49&gt;100000,'3. التنفيذات'!G49&gt;3,C49&lt;550,E49&gt;0.7),"🔴 مرفوض - سياسة مباشرة",IF(R49="A","🟢 مؤهل",IF(R49="B","🟡 مؤهل بتحفظ",IF(R49="C","🟠 يحتاج استثناء","🔴 مرفوض")))))</f>
        <v/>
      </c>
    </row>
    <row r="50" ht="15" customHeight="1" s="104">
      <c r="A50" s="149">
        <f>'1. بيانات العميل'!A50</f>
        <v/>
      </c>
      <c r="B50" s="156">
        <f>'1. بيانات العميل'!C50</f>
        <v/>
      </c>
      <c r="C50" s="164">
        <f>'1. بيانات العميل'!M50</f>
        <v/>
      </c>
      <c r="D50" s="162">
        <f>IF(C50="","",IF(C50&gt;=750,25,IF(C50&gt;=700,20,IF(C50&gt;=650,15,IF(C50&gt;=600,10,IF(C50&gt;=550,5,0))))))</f>
        <v/>
      </c>
      <c r="E50" s="165">
        <f>'2. الالتزامات'!N50</f>
        <v/>
      </c>
      <c r="F50" s="162">
        <f>IF(E50="","",IF(E50&lt;=0.3,25,IF(E50&lt;=0.4,20,IF(E50&lt;=0.5,15,IF(E50&lt;=0.6,10,IF(E50&lt;=0.7,5,0))))))</f>
        <v/>
      </c>
      <c r="G50" s="164">
        <f>'1. بيانات العميل'!O50</f>
        <v/>
      </c>
      <c r="H50" s="164">
        <f>'1. بيانات العميل'!P50</f>
        <v/>
      </c>
      <c r="I50" s="164">
        <f>'1. بيانات العميل'!Q50</f>
        <v/>
      </c>
      <c r="J50" s="162">
        <f>IF(OR(G50="نعم",H50="نعم",I50="نعم"),0,20)</f>
        <v/>
      </c>
      <c r="K50" s="164">
        <f>'3. التنفيذات'!K50</f>
        <v/>
      </c>
      <c r="L50" s="159">
        <f>'3. التنفيذات'!L50</f>
        <v/>
      </c>
      <c r="M50" s="162">
        <f>IF(K50=0,20,IF(OR(K50&gt;8,L50&gt;100000),0,IF(OR(K50&gt;5,L50&gt;50000),5,IF(OR(K50&gt;3,L50&gt;25000),10,15))))</f>
        <v/>
      </c>
      <c r="N50" s="164">
        <f>'1. بيانات العميل'!H50</f>
        <v/>
      </c>
      <c r="O50" s="162">
        <f>IF(N50="حكومي",15,IF(N50="شبه حكومي",10,IF(N50="خاص كبير",8,IF(N50="متقاعد",5,5))))</f>
        <v/>
      </c>
      <c r="P50" s="166">
        <f>IFERROR(D50+F50+J50+M50+O50,0)</f>
        <v/>
      </c>
      <c r="Q50" s="167">
        <f>IFERROR(P50/105,0)</f>
        <v/>
      </c>
      <c r="R50" s="168">
        <f>IF(P50="","",IF(P50&gt;=85,"A",IF(P50&gt;=70,"B",IF(P50&gt;=55,"C","D"))))</f>
        <v/>
      </c>
      <c r="S50" s="162">
        <f>IF(B50="","",IF(OR(G50="نعم",H50="نعم",I50="نعم",K50&gt;8,L50&gt;100000,'3. التنفيذات'!G50&gt;3,C50&lt;550,E50&gt;0.7),"🔴 مرفوض - سياسة مباشرة",IF(R50="A","🟢 مؤهل",IF(R50="B","🟡 مؤهل بتحفظ",IF(R50="C","🟠 يحتاج استثناء","🔴 مرفوض")))))</f>
        <v/>
      </c>
    </row>
    <row r="51" ht="15" customHeight="1" s="104">
      <c r="A51" s="149">
        <f>'1. بيانات العميل'!A51</f>
        <v/>
      </c>
      <c r="B51" s="156">
        <f>'1. بيانات العميل'!C51</f>
        <v/>
      </c>
      <c r="C51" s="164">
        <f>'1. بيانات العميل'!M51</f>
        <v/>
      </c>
      <c r="D51" s="162">
        <f>IF(C51="","",IF(C51&gt;=750,25,IF(C51&gt;=700,20,IF(C51&gt;=650,15,IF(C51&gt;=600,10,IF(C51&gt;=550,5,0))))))</f>
        <v/>
      </c>
      <c r="E51" s="165">
        <f>'2. الالتزامات'!N51</f>
        <v/>
      </c>
      <c r="F51" s="162">
        <f>IF(E51="","",IF(E51&lt;=0.3,25,IF(E51&lt;=0.4,20,IF(E51&lt;=0.5,15,IF(E51&lt;=0.6,10,IF(E51&lt;=0.7,5,0))))))</f>
        <v/>
      </c>
      <c r="G51" s="164">
        <f>'1. بيانات العميل'!O51</f>
        <v/>
      </c>
      <c r="H51" s="164">
        <f>'1. بيانات العميل'!P51</f>
        <v/>
      </c>
      <c r="I51" s="164">
        <f>'1. بيانات العميل'!Q51</f>
        <v/>
      </c>
      <c r="J51" s="162">
        <f>IF(OR(G51="نعم",H51="نعم",I51="نعم"),0,20)</f>
        <v/>
      </c>
      <c r="K51" s="164">
        <f>'3. التنفيذات'!K51</f>
        <v/>
      </c>
      <c r="L51" s="159">
        <f>'3. التنفيذات'!L51</f>
        <v/>
      </c>
      <c r="M51" s="162">
        <f>IF(K51=0,20,IF(OR(K51&gt;8,L51&gt;100000),0,IF(OR(K51&gt;5,L51&gt;50000),5,IF(OR(K51&gt;3,L51&gt;25000),10,15))))</f>
        <v/>
      </c>
      <c r="N51" s="164">
        <f>'1. بيانات العميل'!H51</f>
        <v/>
      </c>
      <c r="O51" s="162">
        <f>IF(N51="حكومي",15,IF(N51="شبه حكومي",10,IF(N51="خاص كبير",8,IF(N51="متقاعد",5,5))))</f>
        <v/>
      </c>
      <c r="P51" s="166">
        <f>IFERROR(D51+F51+J51+M51+O51,0)</f>
        <v/>
      </c>
      <c r="Q51" s="167">
        <f>IFERROR(P51/105,0)</f>
        <v/>
      </c>
      <c r="R51" s="168">
        <f>IF(P51="","",IF(P51&gt;=85,"A",IF(P51&gt;=70,"B",IF(P51&gt;=55,"C","D"))))</f>
        <v/>
      </c>
      <c r="S51" s="162">
        <f>IF(B51="","",IF(OR(G51="نعم",H51="نعم",I51="نعم",K51&gt;8,L51&gt;100000,'3. التنفيذات'!G51&gt;3,C51&lt;550,E51&gt;0.7),"🔴 مرفوض - سياسة مباشرة",IF(R51="A","🟢 مؤهل",IF(R51="B","🟡 مؤهل بتحفظ",IF(R51="C","🟠 يحتاج استثناء","🔴 مرفوض")))))</f>
        <v/>
      </c>
    </row>
    <row r="52" ht="15" customHeight="1" s="104">
      <c r="A52" s="149">
        <f>'1. بيانات العميل'!A52</f>
        <v/>
      </c>
      <c r="B52" s="156">
        <f>'1. بيانات العميل'!C52</f>
        <v/>
      </c>
      <c r="C52" s="164">
        <f>'1. بيانات العميل'!M52</f>
        <v/>
      </c>
      <c r="D52" s="162">
        <f>IF(C52="","",IF(C52&gt;=750,25,IF(C52&gt;=700,20,IF(C52&gt;=650,15,IF(C52&gt;=600,10,IF(C52&gt;=550,5,0))))))</f>
        <v/>
      </c>
      <c r="E52" s="165">
        <f>'2. الالتزامات'!N52</f>
        <v/>
      </c>
      <c r="F52" s="162">
        <f>IF(E52="","",IF(E52&lt;=0.3,25,IF(E52&lt;=0.4,20,IF(E52&lt;=0.5,15,IF(E52&lt;=0.6,10,IF(E52&lt;=0.7,5,0))))))</f>
        <v/>
      </c>
      <c r="G52" s="164">
        <f>'1. بيانات العميل'!O52</f>
        <v/>
      </c>
      <c r="H52" s="164">
        <f>'1. بيانات العميل'!P52</f>
        <v/>
      </c>
      <c r="I52" s="164">
        <f>'1. بيانات العميل'!Q52</f>
        <v/>
      </c>
      <c r="J52" s="162">
        <f>IF(OR(G52="نعم",H52="نعم",I52="نعم"),0,20)</f>
        <v/>
      </c>
      <c r="K52" s="164">
        <f>'3. التنفيذات'!K52</f>
        <v/>
      </c>
      <c r="L52" s="159">
        <f>'3. التنفيذات'!L52</f>
        <v/>
      </c>
      <c r="M52" s="162">
        <f>IF(K52=0,20,IF(OR(K52&gt;8,L52&gt;100000),0,IF(OR(K52&gt;5,L52&gt;50000),5,IF(OR(K52&gt;3,L52&gt;25000),10,15))))</f>
        <v/>
      </c>
      <c r="N52" s="164">
        <f>'1. بيانات العميل'!H52</f>
        <v/>
      </c>
      <c r="O52" s="162">
        <f>IF(N52="حكومي",15,IF(N52="شبه حكومي",10,IF(N52="خاص كبير",8,IF(N52="متقاعد",5,5))))</f>
        <v/>
      </c>
      <c r="P52" s="166">
        <f>IFERROR(D52+F52+J52+M52+O52,0)</f>
        <v/>
      </c>
      <c r="Q52" s="167">
        <f>IFERROR(P52/105,0)</f>
        <v/>
      </c>
      <c r="R52" s="168">
        <f>IF(P52="","",IF(P52&gt;=85,"A",IF(P52&gt;=70,"B",IF(P52&gt;=55,"C","D"))))</f>
        <v/>
      </c>
      <c r="S52" s="162">
        <f>IF(B52="","",IF(OR(G52="نعم",H52="نعم",I52="نعم",K52&gt;8,L52&gt;100000,'3. التنفيذات'!G52&gt;3,C52&lt;550,E52&gt;0.7),"🔴 مرفوض - سياسة مباشرة",IF(R52="A","🟢 مؤهل",IF(R52="B","🟡 مؤهل بتحفظ",IF(R52="C","🟠 يحتاج استثناء","🔴 مرفوض")))))</f>
        <v/>
      </c>
    </row>
    <row r="53" ht="15" customHeight="1" s="104">
      <c r="A53" s="149">
        <f>'1. بيانات العميل'!A53</f>
        <v/>
      </c>
      <c r="B53" s="156">
        <f>'1. بيانات العميل'!C53</f>
        <v/>
      </c>
      <c r="C53" s="164">
        <f>'1. بيانات العميل'!M53</f>
        <v/>
      </c>
      <c r="D53" s="162">
        <f>IF(C53="","",IF(C53&gt;=750,25,IF(C53&gt;=700,20,IF(C53&gt;=650,15,IF(C53&gt;=600,10,IF(C53&gt;=550,5,0))))))</f>
        <v/>
      </c>
      <c r="E53" s="165">
        <f>'2. الالتزامات'!N53</f>
        <v/>
      </c>
      <c r="F53" s="162">
        <f>IF(E53="","",IF(E53&lt;=0.3,25,IF(E53&lt;=0.4,20,IF(E53&lt;=0.5,15,IF(E53&lt;=0.6,10,IF(E53&lt;=0.7,5,0))))))</f>
        <v/>
      </c>
      <c r="G53" s="164">
        <f>'1. بيانات العميل'!O53</f>
        <v/>
      </c>
      <c r="H53" s="164">
        <f>'1. بيانات العميل'!P53</f>
        <v/>
      </c>
      <c r="I53" s="164">
        <f>'1. بيانات العميل'!Q53</f>
        <v/>
      </c>
      <c r="J53" s="162">
        <f>IF(OR(G53="نعم",H53="نعم",I53="نعم"),0,20)</f>
        <v/>
      </c>
      <c r="K53" s="164">
        <f>'3. التنفيذات'!K53</f>
        <v/>
      </c>
      <c r="L53" s="159">
        <f>'3. التنفيذات'!L53</f>
        <v/>
      </c>
      <c r="M53" s="162">
        <f>IF(K53=0,20,IF(OR(K53&gt;8,L53&gt;100000),0,IF(OR(K53&gt;5,L53&gt;50000),5,IF(OR(K53&gt;3,L53&gt;25000),10,15))))</f>
        <v/>
      </c>
      <c r="N53" s="164">
        <f>'1. بيانات العميل'!H53</f>
        <v/>
      </c>
      <c r="O53" s="162">
        <f>IF(N53="حكومي",15,IF(N53="شبه حكومي",10,IF(N53="خاص كبير",8,IF(N53="متقاعد",5,5))))</f>
        <v/>
      </c>
      <c r="P53" s="166">
        <f>IFERROR(D53+F53+J53+M53+O53,0)</f>
        <v/>
      </c>
      <c r="Q53" s="167">
        <f>IFERROR(P53/105,0)</f>
        <v/>
      </c>
      <c r="R53" s="168">
        <f>IF(P53="","",IF(P53&gt;=85,"A",IF(P53&gt;=70,"B",IF(P53&gt;=55,"C","D"))))</f>
        <v/>
      </c>
      <c r="S53" s="162">
        <f>IF(B53="","",IF(OR(G53="نعم",H53="نعم",I53="نعم",K53&gt;8,L53&gt;100000,'3. التنفيذات'!G53&gt;3,C53&lt;550,E53&gt;0.7),"🔴 مرفوض - سياسة مباشرة",IF(R53="A","🟢 مؤهل",IF(R53="B","🟡 مؤهل بتحفظ",IF(R53="C","🟠 يحتاج استثناء","🔴 مرفوض")))))</f>
        <v/>
      </c>
    </row>
  </sheetData>
  <mergeCells count="2">
    <mergeCell ref="A2:S2"/>
    <mergeCell ref="A1:S1"/>
  </mergeCells>
  <conditionalFormatting sqref="R4:R53">
    <cfRule type="cellIs" rank="0" priority="2" equalAverage="0" operator="equal" aboveAverage="0" dxfId="0" text="" percent="0" bottom="0">
      <formula>"A"</formula>
    </cfRule>
    <cfRule type="cellIs" rank="0" priority="3" equalAverage="0" operator="equal" aboveAverage="0" dxfId="1" text="" percent="0" bottom="0">
      <formula>"B"</formula>
    </cfRule>
    <cfRule type="cellIs" rank="0" priority="4" equalAverage="0" operator="equal" aboveAverage="0" dxfId="2" text="" percent="0" bottom="0">
      <formula>"C"</formula>
    </cfRule>
    <cfRule type="cellIs" rank="0" priority="5" equalAverage="0" operator="equal" aboveAverage="0" dxfId="3" text="" percent="0" bottom="0">
      <formula>"D"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N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28" customWidth="1" style="103" min="2" max="2"/>
    <col width="12" customWidth="1" style="103" min="3" max="3"/>
    <col width="14" customWidth="1" style="103" min="4" max="4"/>
    <col width="12" customWidth="1" style="103" min="5" max="5"/>
    <col width="18" customWidth="1" style="103" min="6" max="7"/>
    <col width="16" customWidth="1" style="103" min="8" max="8"/>
    <col width="18" customWidth="1" style="103" min="9" max="9"/>
    <col width="14" customWidth="1" style="103" min="10" max="10"/>
    <col width="18" customWidth="1" style="103" min="11" max="11"/>
    <col width="16" customWidth="1" style="103" min="12" max="12"/>
    <col width="18" customWidth="1" style="103" min="13" max="13"/>
    <col width="22" customWidth="1" style="103" min="14" max="14"/>
  </cols>
  <sheetData>
    <row r="1" ht="45" customHeight="1" s="104">
      <c r="A1" s="155" t="inlineStr">
        <is>
          <t>💰  دراسة الجدوى التمويلية - Financial Feasibility Analysis</t>
        </is>
      </c>
    </row>
    <row r="3" ht="39.75" customHeight="1" s="104">
      <c r="A3" s="137" t="inlineStr">
        <is>
          <t>رقم الملف</t>
        </is>
      </c>
      <c r="B3" s="137" t="inlineStr">
        <is>
          <t>اسم العميل</t>
        </is>
      </c>
      <c r="C3" s="137" t="inlineStr">
        <is>
          <t>التصنيف</t>
        </is>
      </c>
      <c r="D3" s="137" t="inlineStr">
        <is>
          <t>صافي
الراتب</t>
        </is>
      </c>
      <c r="E3" s="137" t="inlineStr">
        <is>
          <t>معامل
التمويل</t>
        </is>
      </c>
      <c r="F3" s="137" t="inlineStr">
        <is>
          <t>مبلغ التمويل
المتوقع</t>
        </is>
      </c>
      <c r="G3" s="137" t="inlineStr">
        <is>
          <t>إجمالي
المديونيات</t>
        </is>
      </c>
      <c r="H3" s="137" t="inlineStr">
        <is>
          <t>إجمالي
التنفيذات</t>
        </is>
      </c>
      <c r="I3" s="137" t="inlineStr">
        <is>
          <t>مبلغ السداد
المطلوب</t>
        </is>
      </c>
      <c r="J3" s="138" t="inlineStr">
        <is>
          <t>نسبة أتعاب
الشركة %</t>
        </is>
      </c>
      <c r="K3" s="138" t="inlineStr">
        <is>
          <t>قيمة أتعاب
الشركة</t>
        </is>
      </c>
      <c r="L3" s="138" t="inlineStr">
        <is>
          <t>الفائض
الإجمالي</t>
        </is>
      </c>
      <c r="M3" s="138" t="inlineStr">
        <is>
          <t>صافي الفائض
للعميل</t>
        </is>
      </c>
      <c r="N3" s="138" t="inlineStr">
        <is>
          <t>قرار الجدوى</t>
        </is>
      </c>
    </row>
    <row r="4" ht="15" customHeight="1" s="104">
      <c r="A4" s="149">
        <f>'1. بيانات العميل'!A4</f>
        <v/>
      </c>
      <c r="B4" s="156">
        <f>'1. بيانات العميل'!C4</f>
        <v/>
      </c>
      <c r="C4" s="149">
        <f>'4. محرك المخاطر'!R4</f>
        <v/>
      </c>
      <c r="D4" s="159">
        <f>'1. بيانات العميل'!K4</f>
        <v/>
      </c>
      <c r="E4" s="162">
        <f>IF(C4="A",20,IF(C4="B",15,IF(C4="C",10,0)))</f>
        <v/>
      </c>
      <c r="F4" s="158">
        <f>IFERROR(D4*E4,0)</f>
        <v/>
      </c>
      <c r="G4" s="159">
        <f>'2. الالتزامات'!K4</f>
        <v/>
      </c>
      <c r="H4" s="159">
        <f>'3. التنفيذات'!L4</f>
        <v/>
      </c>
      <c r="I4" s="158">
        <f>IFERROR(G4+H4,0)</f>
        <v/>
      </c>
      <c r="J4" s="169" t="n">
        <v>0.1</v>
      </c>
      <c r="K4" s="158">
        <f>IFERROR(F4*J4,0)</f>
        <v/>
      </c>
      <c r="L4" s="158">
        <f>IFERROR(F4-I4,0)</f>
        <v/>
      </c>
      <c r="M4" s="170">
        <f>IFERROR(L4-K4,0)</f>
        <v/>
      </c>
      <c r="N4" s="162">
        <f>IF(B4="","",IF(M4&gt;50000,"🟢 فرصة ممتازة",IF(M4&gt;20000,"🟡 فرصة جيدة",IF(M4&gt;0,"🟠 فرصة ضعيفة","🔴 غير مجدي اقتصادياً"))))</f>
        <v/>
      </c>
    </row>
    <row r="5" ht="15" customHeight="1" s="104">
      <c r="A5" s="149">
        <f>'1. بيانات العميل'!A5</f>
        <v/>
      </c>
      <c r="B5" s="156">
        <f>'1. بيانات العميل'!C5</f>
        <v/>
      </c>
      <c r="C5" s="149">
        <f>'4. محرك المخاطر'!R5</f>
        <v/>
      </c>
      <c r="D5" s="159">
        <f>'1. بيانات العميل'!K5</f>
        <v/>
      </c>
      <c r="E5" s="162">
        <f>IF(C5="A",20,IF(C5="B",15,IF(C5="C",10,0)))</f>
        <v/>
      </c>
      <c r="F5" s="158">
        <f>IFERROR(D5*E5,0)</f>
        <v/>
      </c>
      <c r="G5" s="159">
        <f>'2. الالتزامات'!K5</f>
        <v/>
      </c>
      <c r="H5" s="159">
        <f>'3. التنفيذات'!L5</f>
        <v/>
      </c>
      <c r="I5" s="158">
        <f>IFERROR(G5+H5,0)</f>
        <v/>
      </c>
      <c r="J5" s="169" t="n">
        <v>0.1</v>
      </c>
      <c r="K5" s="158">
        <f>IFERROR(F5*J5,0)</f>
        <v/>
      </c>
      <c r="L5" s="158">
        <f>IFERROR(F5-I5,0)</f>
        <v/>
      </c>
      <c r="M5" s="170">
        <f>IFERROR(L5-K5,0)</f>
        <v/>
      </c>
      <c r="N5" s="162">
        <f>IF(B5="","",IF(M5&gt;50000,"🟢 فرصة ممتازة",IF(M5&gt;20000,"🟡 فرصة جيدة",IF(M5&gt;0,"🟠 فرصة ضعيفة","🔴 غير مجدي اقتصادياً"))))</f>
        <v/>
      </c>
    </row>
    <row r="6" ht="15" customHeight="1" s="104">
      <c r="A6" s="149">
        <f>'1. بيانات العميل'!A6</f>
        <v/>
      </c>
      <c r="B6" s="156">
        <f>'1. بيانات العميل'!C6</f>
        <v/>
      </c>
      <c r="C6" s="149">
        <f>'4. محرك المخاطر'!R6</f>
        <v/>
      </c>
      <c r="D6" s="159">
        <f>'1. بيانات العميل'!K6</f>
        <v/>
      </c>
      <c r="E6" s="162">
        <f>IF(C6="A",20,IF(C6="B",15,IF(C6="C",10,0)))</f>
        <v/>
      </c>
      <c r="F6" s="158">
        <f>IFERROR(D6*E6,0)</f>
        <v/>
      </c>
      <c r="G6" s="159">
        <f>'2. الالتزامات'!K6</f>
        <v/>
      </c>
      <c r="H6" s="159">
        <f>'3. التنفيذات'!L6</f>
        <v/>
      </c>
      <c r="I6" s="158">
        <f>IFERROR(G6+H6,0)</f>
        <v/>
      </c>
      <c r="J6" s="169" t="n">
        <v>0.12</v>
      </c>
      <c r="K6" s="158">
        <f>IFERROR(F6*J6,0)</f>
        <v/>
      </c>
      <c r="L6" s="158">
        <f>IFERROR(F6-I6,0)</f>
        <v/>
      </c>
      <c r="M6" s="170">
        <f>IFERROR(L6-K6,0)</f>
        <v/>
      </c>
      <c r="N6" s="162">
        <f>IF(B6="","",IF(M6&gt;50000,"🟢 فرصة ممتازة",IF(M6&gt;20000,"🟡 فرصة جيدة",IF(M6&gt;0,"🟠 فرصة ضعيفة","🔴 غير مجدي اقتصادياً"))))</f>
        <v/>
      </c>
    </row>
    <row r="7" ht="15" customHeight="1" s="104">
      <c r="A7" s="149">
        <f>'1. بيانات العميل'!A7</f>
        <v/>
      </c>
      <c r="B7" s="156">
        <f>'1. بيانات العميل'!C7</f>
        <v/>
      </c>
      <c r="C7" s="149">
        <f>'4. محرك المخاطر'!R7</f>
        <v/>
      </c>
      <c r="D7" s="159">
        <f>'1. بيانات العميل'!K7</f>
        <v/>
      </c>
      <c r="E7" s="162">
        <f>IF(C7="A",20,IF(C7="B",15,IF(C7="C",10,0)))</f>
        <v/>
      </c>
      <c r="F7" s="158">
        <f>IFERROR(D7*E7,0)</f>
        <v/>
      </c>
      <c r="G7" s="159">
        <f>'2. الالتزامات'!K7</f>
        <v/>
      </c>
      <c r="H7" s="159">
        <f>'3. التنفيذات'!L7</f>
        <v/>
      </c>
      <c r="I7" s="158">
        <f>IFERROR(G7+H7,0)</f>
        <v/>
      </c>
      <c r="J7" s="169" t="n">
        <v>0.15</v>
      </c>
      <c r="K7" s="158">
        <f>IFERROR(F7*J7,0)</f>
        <v/>
      </c>
      <c r="L7" s="158">
        <f>IFERROR(F7-I7,0)</f>
        <v/>
      </c>
      <c r="M7" s="170">
        <f>IFERROR(L7-K7,0)</f>
        <v/>
      </c>
      <c r="N7" s="162">
        <f>IF(B7="","",IF(M7&gt;50000,"🟢 فرصة ممتازة",IF(M7&gt;20000,"🟡 فرصة جيدة",IF(M7&gt;0,"🟠 فرصة ضعيفة","🔴 غير مجدي اقتصادياً"))))</f>
        <v/>
      </c>
    </row>
    <row r="8" ht="15" customHeight="1" s="104">
      <c r="A8" s="149">
        <f>'1. بيانات العميل'!A8</f>
        <v/>
      </c>
      <c r="B8" s="156">
        <f>'1. بيانات العميل'!C8</f>
        <v/>
      </c>
      <c r="C8" s="149">
        <f>'4. محرك المخاطر'!R8</f>
        <v/>
      </c>
      <c r="D8" s="159">
        <f>'1. بيانات العميل'!K8</f>
        <v/>
      </c>
      <c r="E8" s="162">
        <f>IF(C8="A",20,IF(C8="B",15,IF(C8="C",10,0)))</f>
        <v/>
      </c>
      <c r="F8" s="158">
        <f>IFERROR(D8*E8,0)</f>
        <v/>
      </c>
      <c r="G8" s="159">
        <f>'2. الالتزامات'!K8</f>
        <v/>
      </c>
      <c r="H8" s="159">
        <f>'3. التنفيذات'!L8</f>
        <v/>
      </c>
      <c r="I8" s="158">
        <f>IFERROR(G8+H8,0)</f>
        <v/>
      </c>
      <c r="J8" s="169" t="n">
        <v>0.1</v>
      </c>
      <c r="K8" s="158">
        <f>IFERROR(F8*J8,0)</f>
        <v/>
      </c>
      <c r="L8" s="158">
        <f>IFERROR(F8-I8,0)</f>
        <v/>
      </c>
      <c r="M8" s="170">
        <f>IFERROR(L8-K8,0)</f>
        <v/>
      </c>
      <c r="N8" s="162">
        <f>IF(B8="","",IF(M8&gt;50000,"🟢 فرصة ممتازة",IF(M8&gt;20000,"🟡 فرصة جيدة",IF(M8&gt;0,"🟠 فرصة ضعيفة","🔴 غير مجدي اقتصادياً"))))</f>
        <v/>
      </c>
    </row>
    <row r="9" ht="15" customHeight="1" s="104">
      <c r="A9" s="149">
        <f>'1. بيانات العميل'!A9</f>
        <v/>
      </c>
      <c r="B9" s="156">
        <f>'1. بيانات العميل'!C9</f>
        <v/>
      </c>
      <c r="C9" s="149">
        <f>'4. محرك المخاطر'!R9</f>
        <v/>
      </c>
      <c r="D9" s="159">
        <f>'1. بيانات العميل'!K9</f>
        <v/>
      </c>
      <c r="E9" s="162">
        <f>IF(C9="A",20,IF(C9="B",15,IF(C9="C",10,0)))</f>
        <v/>
      </c>
      <c r="F9" s="158">
        <f>IFERROR(D9*E9,0)</f>
        <v/>
      </c>
      <c r="G9" s="159">
        <f>'2. الالتزامات'!K9</f>
        <v/>
      </c>
      <c r="H9" s="159">
        <f>'3. التنفيذات'!L9</f>
        <v/>
      </c>
      <c r="I9" s="158">
        <f>IFERROR(G9+H9,0)</f>
        <v/>
      </c>
      <c r="J9" s="169" t="n"/>
      <c r="K9" s="158">
        <f>IFERROR(F9*J9,0)</f>
        <v/>
      </c>
      <c r="L9" s="158">
        <f>IFERROR(F9-I9,0)</f>
        <v/>
      </c>
      <c r="M9" s="170">
        <f>IFERROR(L9-K9,0)</f>
        <v/>
      </c>
      <c r="N9" s="162">
        <f>IF(B9="","",IF(M9&gt;50000,"🟢 فرصة ممتازة",IF(M9&gt;20000,"🟡 فرصة جيدة",IF(M9&gt;0,"🟠 فرصة ضعيفة","🔴 غير مجدي اقتصادياً"))))</f>
        <v/>
      </c>
    </row>
    <row r="10" ht="15" customHeight="1" s="104">
      <c r="A10" s="149">
        <f>'1. بيانات العميل'!A10</f>
        <v/>
      </c>
      <c r="B10" s="156">
        <f>'1. بيانات العميل'!C10</f>
        <v/>
      </c>
      <c r="C10" s="149">
        <f>'4. محرك المخاطر'!R10</f>
        <v/>
      </c>
      <c r="D10" s="159">
        <f>'1. بيانات العميل'!K10</f>
        <v/>
      </c>
      <c r="E10" s="162">
        <f>IF(C10="A",20,IF(C10="B",15,IF(C10="C",10,0)))</f>
        <v/>
      </c>
      <c r="F10" s="158">
        <f>IFERROR(D10*E10,0)</f>
        <v/>
      </c>
      <c r="G10" s="159">
        <f>'2. الالتزامات'!K10</f>
        <v/>
      </c>
      <c r="H10" s="159">
        <f>'3. التنفيذات'!L10</f>
        <v/>
      </c>
      <c r="I10" s="158">
        <f>IFERROR(G10+H10,0)</f>
        <v/>
      </c>
      <c r="J10" s="169" t="n"/>
      <c r="K10" s="158">
        <f>IFERROR(F10*J10,0)</f>
        <v/>
      </c>
      <c r="L10" s="158">
        <f>IFERROR(F10-I10,0)</f>
        <v/>
      </c>
      <c r="M10" s="170">
        <f>IFERROR(L10-K10,0)</f>
        <v/>
      </c>
      <c r="N10" s="162">
        <f>IF(B10="","",IF(M10&gt;50000,"🟢 فرصة ممتازة",IF(M10&gt;20000,"🟡 فرصة جيدة",IF(M10&gt;0,"🟠 فرصة ضعيفة","🔴 غير مجدي اقتصادياً"))))</f>
        <v/>
      </c>
    </row>
    <row r="11" ht="15" customHeight="1" s="104">
      <c r="A11" s="149">
        <f>'1. بيانات العميل'!A11</f>
        <v/>
      </c>
      <c r="B11" s="156">
        <f>'1. بيانات العميل'!C11</f>
        <v/>
      </c>
      <c r="C11" s="149">
        <f>'4. محرك المخاطر'!R11</f>
        <v/>
      </c>
      <c r="D11" s="159">
        <f>'1. بيانات العميل'!K11</f>
        <v/>
      </c>
      <c r="E11" s="162">
        <f>IF(C11="A",20,IF(C11="B",15,IF(C11="C",10,0)))</f>
        <v/>
      </c>
      <c r="F11" s="158">
        <f>IFERROR(D11*E11,0)</f>
        <v/>
      </c>
      <c r="G11" s="159">
        <f>'2. الالتزامات'!K11</f>
        <v/>
      </c>
      <c r="H11" s="159">
        <f>'3. التنفيذات'!L11</f>
        <v/>
      </c>
      <c r="I11" s="158">
        <f>IFERROR(G11+H11,0)</f>
        <v/>
      </c>
      <c r="J11" s="169" t="n"/>
      <c r="K11" s="158">
        <f>IFERROR(F11*J11,0)</f>
        <v/>
      </c>
      <c r="L11" s="158">
        <f>IFERROR(F11-I11,0)</f>
        <v/>
      </c>
      <c r="M11" s="170">
        <f>IFERROR(L11-K11,0)</f>
        <v/>
      </c>
      <c r="N11" s="162">
        <f>IF(B11="","",IF(M11&gt;50000,"🟢 فرصة ممتازة",IF(M11&gt;20000,"🟡 فرصة جيدة",IF(M11&gt;0,"🟠 فرصة ضعيفة","🔴 غير مجدي اقتصادياً"))))</f>
        <v/>
      </c>
    </row>
    <row r="12" ht="15" customHeight="1" s="104">
      <c r="A12" s="149">
        <f>'1. بيانات العميل'!A12</f>
        <v/>
      </c>
      <c r="B12" s="156">
        <f>'1. بيانات العميل'!C12</f>
        <v/>
      </c>
      <c r="C12" s="149">
        <f>'4. محرك المخاطر'!R12</f>
        <v/>
      </c>
      <c r="D12" s="159">
        <f>'1. بيانات العميل'!K12</f>
        <v/>
      </c>
      <c r="E12" s="162">
        <f>IF(C12="A",20,IF(C12="B",15,IF(C12="C",10,0)))</f>
        <v/>
      </c>
      <c r="F12" s="158">
        <f>IFERROR(D12*E12,0)</f>
        <v/>
      </c>
      <c r="G12" s="159">
        <f>'2. الالتزامات'!K12</f>
        <v/>
      </c>
      <c r="H12" s="159">
        <f>'3. التنفيذات'!L12</f>
        <v/>
      </c>
      <c r="I12" s="158">
        <f>IFERROR(G12+H12,0)</f>
        <v/>
      </c>
      <c r="J12" s="169" t="n"/>
      <c r="K12" s="158">
        <f>IFERROR(F12*J12,0)</f>
        <v/>
      </c>
      <c r="L12" s="158">
        <f>IFERROR(F12-I12,0)</f>
        <v/>
      </c>
      <c r="M12" s="170">
        <f>IFERROR(L12-K12,0)</f>
        <v/>
      </c>
      <c r="N12" s="162">
        <f>IF(B12="","",IF(M12&gt;50000,"🟢 فرصة ممتازة",IF(M12&gt;20000,"🟡 فرصة جيدة",IF(M12&gt;0,"🟠 فرصة ضعيفة","🔴 غير مجدي اقتصادياً"))))</f>
        <v/>
      </c>
    </row>
    <row r="13" ht="15" customHeight="1" s="104">
      <c r="A13" s="149">
        <f>'1. بيانات العميل'!A13</f>
        <v/>
      </c>
      <c r="B13" s="156">
        <f>'1. بيانات العميل'!C13</f>
        <v/>
      </c>
      <c r="C13" s="149">
        <f>'4. محرك المخاطر'!R13</f>
        <v/>
      </c>
      <c r="D13" s="159">
        <f>'1. بيانات العميل'!K13</f>
        <v/>
      </c>
      <c r="E13" s="162">
        <f>IF(C13="A",20,IF(C13="B",15,IF(C13="C",10,0)))</f>
        <v/>
      </c>
      <c r="F13" s="158">
        <f>IFERROR(D13*E13,0)</f>
        <v/>
      </c>
      <c r="G13" s="159">
        <f>'2. الالتزامات'!K13</f>
        <v/>
      </c>
      <c r="H13" s="159">
        <f>'3. التنفيذات'!L13</f>
        <v/>
      </c>
      <c r="I13" s="158">
        <f>IFERROR(G13+H13,0)</f>
        <v/>
      </c>
      <c r="J13" s="169" t="n"/>
      <c r="K13" s="158">
        <f>IFERROR(F13*J13,0)</f>
        <v/>
      </c>
      <c r="L13" s="158">
        <f>IFERROR(F13-I13,0)</f>
        <v/>
      </c>
      <c r="M13" s="170">
        <f>IFERROR(L13-K13,0)</f>
        <v/>
      </c>
      <c r="N13" s="162">
        <f>IF(B13="","",IF(M13&gt;50000,"🟢 فرصة ممتازة",IF(M13&gt;20000,"🟡 فرصة جيدة",IF(M13&gt;0,"🟠 فرصة ضعيفة","🔴 غير مجدي اقتصادياً"))))</f>
        <v/>
      </c>
    </row>
    <row r="14" ht="15" customHeight="1" s="104">
      <c r="A14" s="149">
        <f>'1. بيانات العميل'!A14</f>
        <v/>
      </c>
      <c r="B14" s="156">
        <f>'1. بيانات العميل'!C14</f>
        <v/>
      </c>
      <c r="C14" s="149">
        <f>'4. محرك المخاطر'!R14</f>
        <v/>
      </c>
      <c r="D14" s="159">
        <f>'1. بيانات العميل'!K14</f>
        <v/>
      </c>
      <c r="E14" s="162">
        <f>IF(C14="A",20,IF(C14="B",15,IF(C14="C",10,0)))</f>
        <v/>
      </c>
      <c r="F14" s="158">
        <f>IFERROR(D14*E14,0)</f>
        <v/>
      </c>
      <c r="G14" s="159">
        <f>'2. الالتزامات'!K14</f>
        <v/>
      </c>
      <c r="H14" s="159">
        <f>'3. التنفيذات'!L14</f>
        <v/>
      </c>
      <c r="I14" s="158">
        <f>IFERROR(G14+H14,0)</f>
        <v/>
      </c>
      <c r="J14" s="169" t="n"/>
      <c r="K14" s="158">
        <f>IFERROR(F14*J14,0)</f>
        <v/>
      </c>
      <c r="L14" s="158">
        <f>IFERROR(F14-I14,0)</f>
        <v/>
      </c>
      <c r="M14" s="170">
        <f>IFERROR(L14-K14,0)</f>
        <v/>
      </c>
      <c r="N14" s="162">
        <f>IF(B14="","",IF(M14&gt;50000,"🟢 فرصة ممتازة",IF(M14&gt;20000,"🟡 فرصة جيدة",IF(M14&gt;0,"🟠 فرصة ضعيفة","🔴 غير مجدي اقتصادياً"))))</f>
        <v/>
      </c>
    </row>
    <row r="15" ht="15" customHeight="1" s="104">
      <c r="A15" s="149">
        <f>'1. بيانات العميل'!A15</f>
        <v/>
      </c>
      <c r="B15" s="156">
        <f>'1. بيانات العميل'!C15</f>
        <v/>
      </c>
      <c r="C15" s="149">
        <f>'4. محرك المخاطر'!R15</f>
        <v/>
      </c>
      <c r="D15" s="159">
        <f>'1. بيانات العميل'!K15</f>
        <v/>
      </c>
      <c r="E15" s="162">
        <f>IF(C15="A",20,IF(C15="B",15,IF(C15="C",10,0)))</f>
        <v/>
      </c>
      <c r="F15" s="158">
        <f>IFERROR(D15*E15,0)</f>
        <v/>
      </c>
      <c r="G15" s="159">
        <f>'2. الالتزامات'!K15</f>
        <v/>
      </c>
      <c r="H15" s="159">
        <f>'3. التنفيذات'!L15</f>
        <v/>
      </c>
      <c r="I15" s="158">
        <f>IFERROR(G15+H15,0)</f>
        <v/>
      </c>
      <c r="J15" s="169" t="n"/>
      <c r="K15" s="158">
        <f>IFERROR(F15*J15,0)</f>
        <v/>
      </c>
      <c r="L15" s="158">
        <f>IFERROR(F15-I15,0)</f>
        <v/>
      </c>
      <c r="M15" s="170">
        <f>IFERROR(L15-K15,0)</f>
        <v/>
      </c>
      <c r="N15" s="162">
        <f>IF(B15="","",IF(M15&gt;50000,"🟢 فرصة ممتازة",IF(M15&gt;20000,"🟡 فرصة جيدة",IF(M15&gt;0,"🟠 فرصة ضعيفة","🔴 غير مجدي اقتصادياً"))))</f>
        <v/>
      </c>
    </row>
    <row r="16" ht="15" customHeight="1" s="104">
      <c r="A16" s="149">
        <f>'1. بيانات العميل'!A16</f>
        <v/>
      </c>
      <c r="B16" s="156">
        <f>'1. بيانات العميل'!C16</f>
        <v/>
      </c>
      <c r="C16" s="149">
        <f>'4. محرك المخاطر'!R16</f>
        <v/>
      </c>
      <c r="D16" s="159">
        <f>'1. بيانات العميل'!K16</f>
        <v/>
      </c>
      <c r="E16" s="162">
        <f>IF(C16="A",20,IF(C16="B",15,IF(C16="C",10,0)))</f>
        <v/>
      </c>
      <c r="F16" s="158">
        <f>IFERROR(D16*E16,0)</f>
        <v/>
      </c>
      <c r="G16" s="159">
        <f>'2. الالتزامات'!K16</f>
        <v/>
      </c>
      <c r="H16" s="159">
        <f>'3. التنفيذات'!L16</f>
        <v/>
      </c>
      <c r="I16" s="158">
        <f>IFERROR(G16+H16,0)</f>
        <v/>
      </c>
      <c r="J16" s="169" t="n"/>
      <c r="K16" s="158">
        <f>IFERROR(F16*J16,0)</f>
        <v/>
      </c>
      <c r="L16" s="158">
        <f>IFERROR(F16-I16,0)</f>
        <v/>
      </c>
      <c r="M16" s="170">
        <f>IFERROR(L16-K16,0)</f>
        <v/>
      </c>
      <c r="N16" s="162">
        <f>IF(B16="","",IF(M16&gt;50000,"🟢 فرصة ممتازة",IF(M16&gt;20000,"🟡 فرصة جيدة",IF(M16&gt;0,"🟠 فرصة ضعيفة","🔴 غير مجدي اقتصادياً"))))</f>
        <v/>
      </c>
    </row>
    <row r="17" ht="15" customHeight="1" s="104">
      <c r="A17" s="149">
        <f>'1. بيانات العميل'!A17</f>
        <v/>
      </c>
      <c r="B17" s="156">
        <f>'1. بيانات العميل'!C17</f>
        <v/>
      </c>
      <c r="C17" s="149">
        <f>'4. محرك المخاطر'!R17</f>
        <v/>
      </c>
      <c r="D17" s="159">
        <f>'1. بيانات العميل'!K17</f>
        <v/>
      </c>
      <c r="E17" s="162">
        <f>IF(C17="A",20,IF(C17="B",15,IF(C17="C",10,0)))</f>
        <v/>
      </c>
      <c r="F17" s="158">
        <f>IFERROR(D17*E17,0)</f>
        <v/>
      </c>
      <c r="G17" s="159">
        <f>'2. الالتزامات'!K17</f>
        <v/>
      </c>
      <c r="H17" s="159">
        <f>'3. التنفيذات'!L17</f>
        <v/>
      </c>
      <c r="I17" s="158">
        <f>IFERROR(G17+H17,0)</f>
        <v/>
      </c>
      <c r="J17" s="169" t="n"/>
      <c r="K17" s="158">
        <f>IFERROR(F17*J17,0)</f>
        <v/>
      </c>
      <c r="L17" s="158">
        <f>IFERROR(F17-I17,0)</f>
        <v/>
      </c>
      <c r="M17" s="170">
        <f>IFERROR(L17-K17,0)</f>
        <v/>
      </c>
      <c r="N17" s="162">
        <f>IF(B17="","",IF(M17&gt;50000,"🟢 فرصة ممتازة",IF(M17&gt;20000,"🟡 فرصة جيدة",IF(M17&gt;0,"🟠 فرصة ضعيفة","🔴 غير مجدي اقتصادياً"))))</f>
        <v/>
      </c>
    </row>
    <row r="18" ht="15" customHeight="1" s="104">
      <c r="A18" s="149">
        <f>'1. بيانات العميل'!A18</f>
        <v/>
      </c>
      <c r="B18" s="156">
        <f>'1. بيانات العميل'!C18</f>
        <v/>
      </c>
      <c r="C18" s="149">
        <f>'4. محرك المخاطر'!R18</f>
        <v/>
      </c>
      <c r="D18" s="159">
        <f>'1. بيانات العميل'!K18</f>
        <v/>
      </c>
      <c r="E18" s="162">
        <f>IF(C18="A",20,IF(C18="B",15,IF(C18="C",10,0)))</f>
        <v/>
      </c>
      <c r="F18" s="158">
        <f>IFERROR(D18*E18,0)</f>
        <v/>
      </c>
      <c r="G18" s="159">
        <f>'2. الالتزامات'!K18</f>
        <v/>
      </c>
      <c r="H18" s="159">
        <f>'3. التنفيذات'!L18</f>
        <v/>
      </c>
      <c r="I18" s="158">
        <f>IFERROR(G18+H18,0)</f>
        <v/>
      </c>
      <c r="J18" s="169" t="n"/>
      <c r="K18" s="158">
        <f>IFERROR(F18*J18,0)</f>
        <v/>
      </c>
      <c r="L18" s="158">
        <f>IFERROR(F18-I18,0)</f>
        <v/>
      </c>
      <c r="M18" s="170">
        <f>IFERROR(L18-K18,0)</f>
        <v/>
      </c>
      <c r="N18" s="162">
        <f>IF(B18="","",IF(M18&gt;50000,"🟢 فرصة ممتازة",IF(M18&gt;20000,"🟡 فرصة جيدة",IF(M18&gt;0,"🟠 فرصة ضعيفة","🔴 غير مجدي اقتصادياً"))))</f>
        <v/>
      </c>
    </row>
    <row r="19" ht="15" customHeight="1" s="104">
      <c r="A19" s="149">
        <f>'1. بيانات العميل'!A19</f>
        <v/>
      </c>
      <c r="B19" s="156">
        <f>'1. بيانات العميل'!C19</f>
        <v/>
      </c>
      <c r="C19" s="149">
        <f>'4. محرك المخاطر'!R19</f>
        <v/>
      </c>
      <c r="D19" s="159">
        <f>'1. بيانات العميل'!K19</f>
        <v/>
      </c>
      <c r="E19" s="162">
        <f>IF(C19="A",20,IF(C19="B",15,IF(C19="C",10,0)))</f>
        <v/>
      </c>
      <c r="F19" s="158">
        <f>IFERROR(D19*E19,0)</f>
        <v/>
      </c>
      <c r="G19" s="159">
        <f>'2. الالتزامات'!K19</f>
        <v/>
      </c>
      <c r="H19" s="159">
        <f>'3. التنفيذات'!L19</f>
        <v/>
      </c>
      <c r="I19" s="158">
        <f>IFERROR(G19+H19,0)</f>
        <v/>
      </c>
      <c r="J19" s="169" t="n"/>
      <c r="K19" s="158">
        <f>IFERROR(F19*J19,0)</f>
        <v/>
      </c>
      <c r="L19" s="158">
        <f>IFERROR(F19-I19,0)</f>
        <v/>
      </c>
      <c r="M19" s="170">
        <f>IFERROR(L19-K19,0)</f>
        <v/>
      </c>
      <c r="N19" s="162">
        <f>IF(B19="","",IF(M19&gt;50000,"🟢 فرصة ممتازة",IF(M19&gt;20000,"🟡 فرصة جيدة",IF(M19&gt;0,"🟠 فرصة ضعيفة","🔴 غير مجدي اقتصادياً"))))</f>
        <v/>
      </c>
    </row>
    <row r="20" ht="15" customHeight="1" s="104">
      <c r="A20" s="149">
        <f>'1. بيانات العميل'!A20</f>
        <v/>
      </c>
      <c r="B20" s="156">
        <f>'1. بيانات العميل'!C20</f>
        <v/>
      </c>
      <c r="C20" s="149">
        <f>'4. محرك المخاطر'!R20</f>
        <v/>
      </c>
      <c r="D20" s="159">
        <f>'1. بيانات العميل'!K20</f>
        <v/>
      </c>
      <c r="E20" s="162">
        <f>IF(C20="A",20,IF(C20="B",15,IF(C20="C",10,0)))</f>
        <v/>
      </c>
      <c r="F20" s="158">
        <f>IFERROR(D20*E20,0)</f>
        <v/>
      </c>
      <c r="G20" s="159">
        <f>'2. الالتزامات'!K20</f>
        <v/>
      </c>
      <c r="H20" s="159">
        <f>'3. التنفيذات'!L20</f>
        <v/>
      </c>
      <c r="I20" s="158">
        <f>IFERROR(G20+H20,0)</f>
        <v/>
      </c>
      <c r="J20" s="169" t="n"/>
      <c r="K20" s="158">
        <f>IFERROR(F20*J20,0)</f>
        <v/>
      </c>
      <c r="L20" s="158">
        <f>IFERROR(F20-I20,0)</f>
        <v/>
      </c>
      <c r="M20" s="170">
        <f>IFERROR(L20-K20,0)</f>
        <v/>
      </c>
      <c r="N20" s="162">
        <f>IF(B20="","",IF(M20&gt;50000,"🟢 فرصة ممتازة",IF(M20&gt;20000,"🟡 فرصة جيدة",IF(M20&gt;0,"🟠 فرصة ضعيفة","🔴 غير مجدي اقتصادياً"))))</f>
        <v/>
      </c>
    </row>
    <row r="21" ht="15" customHeight="1" s="104">
      <c r="A21" s="149">
        <f>'1. بيانات العميل'!A21</f>
        <v/>
      </c>
      <c r="B21" s="156">
        <f>'1. بيانات العميل'!C21</f>
        <v/>
      </c>
      <c r="C21" s="149">
        <f>'4. محرك المخاطر'!R21</f>
        <v/>
      </c>
      <c r="D21" s="159">
        <f>'1. بيانات العميل'!K21</f>
        <v/>
      </c>
      <c r="E21" s="162">
        <f>IF(C21="A",20,IF(C21="B",15,IF(C21="C",10,0)))</f>
        <v/>
      </c>
      <c r="F21" s="158">
        <f>IFERROR(D21*E21,0)</f>
        <v/>
      </c>
      <c r="G21" s="159">
        <f>'2. الالتزامات'!K21</f>
        <v/>
      </c>
      <c r="H21" s="159">
        <f>'3. التنفيذات'!L21</f>
        <v/>
      </c>
      <c r="I21" s="158">
        <f>IFERROR(G21+H21,0)</f>
        <v/>
      </c>
      <c r="J21" s="169" t="n"/>
      <c r="K21" s="158">
        <f>IFERROR(F21*J21,0)</f>
        <v/>
      </c>
      <c r="L21" s="158">
        <f>IFERROR(F21-I21,0)</f>
        <v/>
      </c>
      <c r="M21" s="170">
        <f>IFERROR(L21-K21,0)</f>
        <v/>
      </c>
      <c r="N21" s="162">
        <f>IF(B21="","",IF(M21&gt;50000,"🟢 فرصة ممتازة",IF(M21&gt;20000,"🟡 فرصة جيدة",IF(M21&gt;0,"🟠 فرصة ضعيفة","🔴 غير مجدي اقتصادياً"))))</f>
        <v/>
      </c>
    </row>
    <row r="22" ht="15" customHeight="1" s="104">
      <c r="A22" s="149">
        <f>'1. بيانات العميل'!A22</f>
        <v/>
      </c>
      <c r="B22" s="156">
        <f>'1. بيانات العميل'!C22</f>
        <v/>
      </c>
      <c r="C22" s="149">
        <f>'4. محرك المخاطر'!R22</f>
        <v/>
      </c>
      <c r="D22" s="159">
        <f>'1. بيانات العميل'!K22</f>
        <v/>
      </c>
      <c r="E22" s="162">
        <f>IF(C22="A",20,IF(C22="B",15,IF(C22="C",10,0)))</f>
        <v/>
      </c>
      <c r="F22" s="158">
        <f>IFERROR(D22*E22,0)</f>
        <v/>
      </c>
      <c r="G22" s="159">
        <f>'2. الالتزامات'!K22</f>
        <v/>
      </c>
      <c r="H22" s="159">
        <f>'3. التنفيذات'!L22</f>
        <v/>
      </c>
      <c r="I22" s="158">
        <f>IFERROR(G22+H22,0)</f>
        <v/>
      </c>
      <c r="J22" s="169" t="n"/>
      <c r="K22" s="158">
        <f>IFERROR(F22*J22,0)</f>
        <v/>
      </c>
      <c r="L22" s="158">
        <f>IFERROR(F22-I22,0)</f>
        <v/>
      </c>
      <c r="M22" s="170">
        <f>IFERROR(L22-K22,0)</f>
        <v/>
      </c>
      <c r="N22" s="162">
        <f>IF(B22="","",IF(M22&gt;50000,"🟢 فرصة ممتازة",IF(M22&gt;20000,"🟡 فرصة جيدة",IF(M22&gt;0,"🟠 فرصة ضعيفة","🔴 غير مجدي اقتصادياً"))))</f>
        <v/>
      </c>
    </row>
    <row r="23" ht="15" customHeight="1" s="104">
      <c r="A23" s="149">
        <f>'1. بيانات العميل'!A23</f>
        <v/>
      </c>
      <c r="B23" s="156">
        <f>'1. بيانات العميل'!C23</f>
        <v/>
      </c>
      <c r="C23" s="149">
        <f>'4. محرك المخاطر'!R23</f>
        <v/>
      </c>
      <c r="D23" s="159">
        <f>'1. بيانات العميل'!K23</f>
        <v/>
      </c>
      <c r="E23" s="162">
        <f>IF(C23="A",20,IF(C23="B",15,IF(C23="C",10,0)))</f>
        <v/>
      </c>
      <c r="F23" s="158">
        <f>IFERROR(D23*E23,0)</f>
        <v/>
      </c>
      <c r="G23" s="159">
        <f>'2. الالتزامات'!K23</f>
        <v/>
      </c>
      <c r="H23" s="159">
        <f>'3. التنفيذات'!L23</f>
        <v/>
      </c>
      <c r="I23" s="158">
        <f>IFERROR(G23+H23,0)</f>
        <v/>
      </c>
      <c r="J23" s="169" t="n"/>
      <c r="K23" s="158">
        <f>IFERROR(F23*J23,0)</f>
        <v/>
      </c>
      <c r="L23" s="158">
        <f>IFERROR(F23-I23,0)</f>
        <v/>
      </c>
      <c r="M23" s="170">
        <f>IFERROR(L23-K23,0)</f>
        <v/>
      </c>
      <c r="N23" s="162">
        <f>IF(B23="","",IF(M23&gt;50000,"🟢 فرصة ممتازة",IF(M23&gt;20000,"🟡 فرصة جيدة",IF(M23&gt;0,"🟠 فرصة ضعيفة","🔴 غير مجدي اقتصادياً"))))</f>
        <v/>
      </c>
    </row>
    <row r="24" ht="15" customHeight="1" s="104">
      <c r="A24" s="149">
        <f>'1. بيانات العميل'!A24</f>
        <v/>
      </c>
      <c r="B24" s="156">
        <f>'1. بيانات العميل'!C24</f>
        <v/>
      </c>
      <c r="C24" s="149">
        <f>'4. محرك المخاطر'!R24</f>
        <v/>
      </c>
      <c r="D24" s="159">
        <f>'1. بيانات العميل'!K24</f>
        <v/>
      </c>
      <c r="E24" s="162">
        <f>IF(C24="A",20,IF(C24="B",15,IF(C24="C",10,0)))</f>
        <v/>
      </c>
      <c r="F24" s="158">
        <f>IFERROR(D24*E24,0)</f>
        <v/>
      </c>
      <c r="G24" s="159">
        <f>'2. الالتزامات'!K24</f>
        <v/>
      </c>
      <c r="H24" s="159">
        <f>'3. التنفيذات'!L24</f>
        <v/>
      </c>
      <c r="I24" s="158">
        <f>IFERROR(G24+H24,0)</f>
        <v/>
      </c>
      <c r="J24" s="169" t="n"/>
      <c r="K24" s="158">
        <f>IFERROR(F24*J24,0)</f>
        <v/>
      </c>
      <c r="L24" s="158">
        <f>IFERROR(F24-I24,0)</f>
        <v/>
      </c>
      <c r="M24" s="170">
        <f>IFERROR(L24-K24,0)</f>
        <v/>
      </c>
      <c r="N24" s="162">
        <f>IF(B24="","",IF(M24&gt;50000,"🟢 فرصة ممتازة",IF(M24&gt;20000,"🟡 فرصة جيدة",IF(M24&gt;0,"🟠 فرصة ضعيفة","🔴 غير مجدي اقتصادياً"))))</f>
        <v/>
      </c>
    </row>
    <row r="25" ht="15" customHeight="1" s="104">
      <c r="A25" s="149">
        <f>'1. بيانات العميل'!A25</f>
        <v/>
      </c>
      <c r="B25" s="156">
        <f>'1. بيانات العميل'!C25</f>
        <v/>
      </c>
      <c r="C25" s="149">
        <f>'4. محرك المخاطر'!R25</f>
        <v/>
      </c>
      <c r="D25" s="159">
        <f>'1. بيانات العميل'!K25</f>
        <v/>
      </c>
      <c r="E25" s="162">
        <f>IF(C25="A",20,IF(C25="B",15,IF(C25="C",10,0)))</f>
        <v/>
      </c>
      <c r="F25" s="158">
        <f>IFERROR(D25*E25,0)</f>
        <v/>
      </c>
      <c r="G25" s="159">
        <f>'2. الالتزامات'!K25</f>
        <v/>
      </c>
      <c r="H25" s="159">
        <f>'3. التنفيذات'!L25</f>
        <v/>
      </c>
      <c r="I25" s="158">
        <f>IFERROR(G25+H25,0)</f>
        <v/>
      </c>
      <c r="J25" s="169" t="n"/>
      <c r="K25" s="158">
        <f>IFERROR(F25*J25,0)</f>
        <v/>
      </c>
      <c r="L25" s="158">
        <f>IFERROR(F25-I25,0)</f>
        <v/>
      </c>
      <c r="M25" s="170">
        <f>IFERROR(L25-K25,0)</f>
        <v/>
      </c>
      <c r="N25" s="162">
        <f>IF(B25="","",IF(M25&gt;50000,"🟢 فرصة ممتازة",IF(M25&gt;20000,"🟡 فرصة جيدة",IF(M25&gt;0,"🟠 فرصة ضعيفة","🔴 غير مجدي اقتصادياً"))))</f>
        <v/>
      </c>
    </row>
    <row r="26" ht="15" customHeight="1" s="104">
      <c r="A26" s="149">
        <f>'1. بيانات العميل'!A26</f>
        <v/>
      </c>
      <c r="B26" s="156">
        <f>'1. بيانات العميل'!C26</f>
        <v/>
      </c>
      <c r="C26" s="149">
        <f>'4. محرك المخاطر'!R26</f>
        <v/>
      </c>
      <c r="D26" s="159">
        <f>'1. بيانات العميل'!K26</f>
        <v/>
      </c>
      <c r="E26" s="162">
        <f>IF(C26="A",20,IF(C26="B",15,IF(C26="C",10,0)))</f>
        <v/>
      </c>
      <c r="F26" s="158">
        <f>IFERROR(D26*E26,0)</f>
        <v/>
      </c>
      <c r="G26" s="159">
        <f>'2. الالتزامات'!K26</f>
        <v/>
      </c>
      <c r="H26" s="159">
        <f>'3. التنفيذات'!L26</f>
        <v/>
      </c>
      <c r="I26" s="158">
        <f>IFERROR(G26+H26,0)</f>
        <v/>
      </c>
      <c r="J26" s="169" t="n"/>
      <c r="K26" s="158">
        <f>IFERROR(F26*J26,0)</f>
        <v/>
      </c>
      <c r="L26" s="158">
        <f>IFERROR(F26-I26,0)</f>
        <v/>
      </c>
      <c r="M26" s="170">
        <f>IFERROR(L26-K26,0)</f>
        <v/>
      </c>
      <c r="N26" s="162">
        <f>IF(B26="","",IF(M26&gt;50000,"🟢 فرصة ممتازة",IF(M26&gt;20000,"🟡 فرصة جيدة",IF(M26&gt;0,"🟠 فرصة ضعيفة","🔴 غير مجدي اقتصادياً"))))</f>
        <v/>
      </c>
    </row>
    <row r="27" ht="15" customHeight="1" s="104">
      <c r="A27" s="149">
        <f>'1. بيانات العميل'!A27</f>
        <v/>
      </c>
      <c r="B27" s="156">
        <f>'1. بيانات العميل'!C27</f>
        <v/>
      </c>
      <c r="C27" s="149">
        <f>'4. محرك المخاطر'!R27</f>
        <v/>
      </c>
      <c r="D27" s="159">
        <f>'1. بيانات العميل'!K27</f>
        <v/>
      </c>
      <c r="E27" s="162">
        <f>IF(C27="A",20,IF(C27="B",15,IF(C27="C",10,0)))</f>
        <v/>
      </c>
      <c r="F27" s="158">
        <f>IFERROR(D27*E27,0)</f>
        <v/>
      </c>
      <c r="G27" s="159">
        <f>'2. الالتزامات'!K27</f>
        <v/>
      </c>
      <c r="H27" s="159">
        <f>'3. التنفيذات'!L27</f>
        <v/>
      </c>
      <c r="I27" s="158">
        <f>IFERROR(G27+H27,0)</f>
        <v/>
      </c>
      <c r="J27" s="169" t="n"/>
      <c r="K27" s="158">
        <f>IFERROR(F27*J27,0)</f>
        <v/>
      </c>
      <c r="L27" s="158">
        <f>IFERROR(F27-I27,0)</f>
        <v/>
      </c>
      <c r="M27" s="170">
        <f>IFERROR(L27-K27,0)</f>
        <v/>
      </c>
      <c r="N27" s="162">
        <f>IF(B27="","",IF(M27&gt;50000,"🟢 فرصة ممتازة",IF(M27&gt;20000,"🟡 فرصة جيدة",IF(M27&gt;0,"🟠 فرصة ضعيفة","🔴 غير مجدي اقتصادياً"))))</f>
        <v/>
      </c>
    </row>
    <row r="28" ht="15" customHeight="1" s="104">
      <c r="A28" s="149">
        <f>'1. بيانات العميل'!A28</f>
        <v/>
      </c>
      <c r="B28" s="156">
        <f>'1. بيانات العميل'!C28</f>
        <v/>
      </c>
      <c r="C28" s="149">
        <f>'4. محرك المخاطر'!R28</f>
        <v/>
      </c>
      <c r="D28" s="159">
        <f>'1. بيانات العميل'!K28</f>
        <v/>
      </c>
      <c r="E28" s="162">
        <f>IF(C28="A",20,IF(C28="B",15,IF(C28="C",10,0)))</f>
        <v/>
      </c>
      <c r="F28" s="158">
        <f>IFERROR(D28*E28,0)</f>
        <v/>
      </c>
      <c r="G28" s="159">
        <f>'2. الالتزامات'!K28</f>
        <v/>
      </c>
      <c r="H28" s="159">
        <f>'3. التنفيذات'!L28</f>
        <v/>
      </c>
      <c r="I28" s="158">
        <f>IFERROR(G28+H28,0)</f>
        <v/>
      </c>
      <c r="J28" s="169" t="n"/>
      <c r="K28" s="158">
        <f>IFERROR(F28*J28,0)</f>
        <v/>
      </c>
      <c r="L28" s="158">
        <f>IFERROR(F28-I28,0)</f>
        <v/>
      </c>
      <c r="M28" s="170">
        <f>IFERROR(L28-K28,0)</f>
        <v/>
      </c>
      <c r="N28" s="162">
        <f>IF(B28="","",IF(M28&gt;50000,"🟢 فرصة ممتازة",IF(M28&gt;20000,"🟡 فرصة جيدة",IF(M28&gt;0,"🟠 فرصة ضعيفة","🔴 غير مجدي اقتصادياً"))))</f>
        <v/>
      </c>
    </row>
    <row r="29" ht="15" customHeight="1" s="104">
      <c r="A29" s="149">
        <f>'1. بيانات العميل'!A29</f>
        <v/>
      </c>
      <c r="B29" s="156">
        <f>'1. بيانات العميل'!C29</f>
        <v/>
      </c>
      <c r="C29" s="149">
        <f>'4. محرك المخاطر'!R29</f>
        <v/>
      </c>
      <c r="D29" s="159">
        <f>'1. بيانات العميل'!K29</f>
        <v/>
      </c>
      <c r="E29" s="162">
        <f>IF(C29="A",20,IF(C29="B",15,IF(C29="C",10,0)))</f>
        <v/>
      </c>
      <c r="F29" s="158">
        <f>IFERROR(D29*E29,0)</f>
        <v/>
      </c>
      <c r="G29" s="159">
        <f>'2. الالتزامات'!K29</f>
        <v/>
      </c>
      <c r="H29" s="159">
        <f>'3. التنفيذات'!L29</f>
        <v/>
      </c>
      <c r="I29" s="158">
        <f>IFERROR(G29+H29,0)</f>
        <v/>
      </c>
      <c r="J29" s="169" t="n"/>
      <c r="K29" s="158">
        <f>IFERROR(F29*J29,0)</f>
        <v/>
      </c>
      <c r="L29" s="158">
        <f>IFERROR(F29-I29,0)</f>
        <v/>
      </c>
      <c r="M29" s="170">
        <f>IFERROR(L29-K29,0)</f>
        <v/>
      </c>
      <c r="N29" s="162">
        <f>IF(B29="","",IF(M29&gt;50000,"🟢 فرصة ممتازة",IF(M29&gt;20000,"🟡 فرصة جيدة",IF(M29&gt;0,"🟠 فرصة ضعيفة","🔴 غير مجدي اقتصادياً"))))</f>
        <v/>
      </c>
    </row>
    <row r="30" ht="15" customHeight="1" s="104">
      <c r="A30" s="149">
        <f>'1. بيانات العميل'!A30</f>
        <v/>
      </c>
      <c r="B30" s="156">
        <f>'1. بيانات العميل'!C30</f>
        <v/>
      </c>
      <c r="C30" s="149">
        <f>'4. محرك المخاطر'!R30</f>
        <v/>
      </c>
      <c r="D30" s="159">
        <f>'1. بيانات العميل'!K30</f>
        <v/>
      </c>
      <c r="E30" s="162">
        <f>IF(C30="A",20,IF(C30="B",15,IF(C30="C",10,0)))</f>
        <v/>
      </c>
      <c r="F30" s="158">
        <f>IFERROR(D30*E30,0)</f>
        <v/>
      </c>
      <c r="G30" s="159">
        <f>'2. الالتزامات'!K30</f>
        <v/>
      </c>
      <c r="H30" s="159">
        <f>'3. التنفيذات'!L30</f>
        <v/>
      </c>
      <c r="I30" s="158">
        <f>IFERROR(G30+H30,0)</f>
        <v/>
      </c>
      <c r="J30" s="169" t="n"/>
      <c r="K30" s="158">
        <f>IFERROR(F30*J30,0)</f>
        <v/>
      </c>
      <c r="L30" s="158">
        <f>IFERROR(F30-I30,0)</f>
        <v/>
      </c>
      <c r="M30" s="170">
        <f>IFERROR(L30-K30,0)</f>
        <v/>
      </c>
      <c r="N30" s="162">
        <f>IF(B30="","",IF(M30&gt;50000,"🟢 فرصة ممتازة",IF(M30&gt;20000,"🟡 فرصة جيدة",IF(M30&gt;0,"🟠 فرصة ضعيفة","🔴 غير مجدي اقتصادياً"))))</f>
        <v/>
      </c>
    </row>
    <row r="31" ht="15" customHeight="1" s="104">
      <c r="A31" s="149">
        <f>'1. بيانات العميل'!A31</f>
        <v/>
      </c>
      <c r="B31" s="156">
        <f>'1. بيانات العميل'!C31</f>
        <v/>
      </c>
      <c r="C31" s="149">
        <f>'4. محرك المخاطر'!R31</f>
        <v/>
      </c>
      <c r="D31" s="159">
        <f>'1. بيانات العميل'!K31</f>
        <v/>
      </c>
      <c r="E31" s="162">
        <f>IF(C31="A",20,IF(C31="B",15,IF(C31="C",10,0)))</f>
        <v/>
      </c>
      <c r="F31" s="158">
        <f>IFERROR(D31*E31,0)</f>
        <v/>
      </c>
      <c r="G31" s="159">
        <f>'2. الالتزامات'!K31</f>
        <v/>
      </c>
      <c r="H31" s="159">
        <f>'3. التنفيذات'!L31</f>
        <v/>
      </c>
      <c r="I31" s="158">
        <f>IFERROR(G31+H31,0)</f>
        <v/>
      </c>
      <c r="J31" s="169" t="n"/>
      <c r="K31" s="158">
        <f>IFERROR(F31*J31,0)</f>
        <v/>
      </c>
      <c r="L31" s="158">
        <f>IFERROR(F31-I31,0)</f>
        <v/>
      </c>
      <c r="M31" s="170">
        <f>IFERROR(L31-K31,0)</f>
        <v/>
      </c>
      <c r="N31" s="162">
        <f>IF(B31="","",IF(M31&gt;50000,"🟢 فرصة ممتازة",IF(M31&gt;20000,"🟡 فرصة جيدة",IF(M31&gt;0,"🟠 فرصة ضعيفة","🔴 غير مجدي اقتصادياً"))))</f>
        <v/>
      </c>
    </row>
    <row r="32" ht="15" customHeight="1" s="104">
      <c r="A32" s="149">
        <f>'1. بيانات العميل'!A32</f>
        <v/>
      </c>
      <c r="B32" s="156">
        <f>'1. بيانات العميل'!C32</f>
        <v/>
      </c>
      <c r="C32" s="149">
        <f>'4. محرك المخاطر'!R32</f>
        <v/>
      </c>
      <c r="D32" s="159">
        <f>'1. بيانات العميل'!K32</f>
        <v/>
      </c>
      <c r="E32" s="162">
        <f>IF(C32="A",20,IF(C32="B",15,IF(C32="C",10,0)))</f>
        <v/>
      </c>
      <c r="F32" s="158">
        <f>IFERROR(D32*E32,0)</f>
        <v/>
      </c>
      <c r="G32" s="159">
        <f>'2. الالتزامات'!K32</f>
        <v/>
      </c>
      <c r="H32" s="159">
        <f>'3. التنفيذات'!L32</f>
        <v/>
      </c>
      <c r="I32" s="158">
        <f>IFERROR(G32+H32,0)</f>
        <v/>
      </c>
      <c r="J32" s="169" t="n"/>
      <c r="K32" s="158">
        <f>IFERROR(F32*J32,0)</f>
        <v/>
      </c>
      <c r="L32" s="158">
        <f>IFERROR(F32-I32,0)</f>
        <v/>
      </c>
      <c r="M32" s="170">
        <f>IFERROR(L32-K32,0)</f>
        <v/>
      </c>
      <c r="N32" s="162">
        <f>IF(B32="","",IF(M32&gt;50000,"🟢 فرصة ممتازة",IF(M32&gt;20000,"🟡 فرصة جيدة",IF(M32&gt;0,"🟠 فرصة ضعيفة","🔴 غير مجدي اقتصادياً"))))</f>
        <v/>
      </c>
    </row>
    <row r="33" ht="15" customHeight="1" s="104">
      <c r="A33" s="149">
        <f>'1. بيانات العميل'!A33</f>
        <v/>
      </c>
      <c r="B33" s="156">
        <f>'1. بيانات العميل'!C33</f>
        <v/>
      </c>
      <c r="C33" s="149">
        <f>'4. محرك المخاطر'!R33</f>
        <v/>
      </c>
      <c r="D33" s="159">
        <f>'1. بيانات العميل'!K33</f>
        <v/>
      </c>
      <c r="E33" s="162">
        <f>IF(C33="A",20,IF(C33="B",15,IF(C33="C",10,0)))</f>
        <v/>
      </c>
      <c r="F33" s="158">
        <f>IFERROR(D33*E33,0)</f>
        <v/>
      </c>
      <c r="G33" s="159">
        <f>'2. الالتزامات'!K33</f>
        <v/>
      </c>
      <c r="H33" s="159">
        <f>'3. التنفيذات'!L33</f>
        <v/>
      </c>
      <c r="I33" s="158">
        <f>IFERROR(G33+H33,0)</f>
        <v/>
      </c>
      <c r="J33" s="169" t="n"/>
      <c r="K33" s="158">
        <f>IFERROR(F33*J33,0)</f>
        <v/>
      </c>
      <c r="L33" s="158">
        <f>IFERROR(F33-I33,0)</f>
        <v/>
      </c>
      <c r="M33" s="170">
        <f>IFERROR(L33-K33,0)</f>
        <v/>
      </c>
      <c r="N33" s="162">
        <f>IF(B33="","",IF(M33&gt;50000,"🟢 فرصة ممتازة",IF(M33&gt;20000,"🟡 فرصة جيدة",IF(M33&gt;0,"🟠 فرصة ضعيفة","🔴 غير مجدي اقتصادياً"))))</f>
        <v/>
      </c>
    </row>
    <row r="34" ht="15" customHeight="1" s="104">
      <c r="A34" s="149">
        <f>'1. بيانات العميل'!A34</f>
        <v/>
      </c>
      <c r="B34" s="156">
        <f>'1. بيانات العميل'!C34</f>
        <v/>
      </c>
      <c r="C34" s="149">
        <f>'4. محرك المخاطر'!R34</f>
        <v/>
      </c>
      <c r="D34" s="159">
        <f>'1. بيانات العميل'!K34</f>
        <v/>
      </c>
      <c r="E34" s="162">
        <f>IF(C34="A",20,IF(C34="B",15,IF(C34="C",10,0)))</f>
        <v/>
      </c>
      <c r="F34" s="158">
        <f>IFERROR(D34*E34,0)</f>
        <v/>
      </c>
      <c r="G34" s="159">
        <f>'2. الالتزامات'!K34</f>
        <v/>
      </c>
      <c r="H34" s="159">
        <f>'3. التنفيذات'!L34</f>
        <v/>
      </c>
      <c r="I34" s="158">
        <f>IFERROR(G34+H34,0)</f>
        <v/>
      </c>
      <c r="J34" s="169" t="n"/>
      <c r="K34" s="158">
        <f>IFERROR(F34*J34,0)</f>
        <v/>
      </c>
      <c r="L34" s="158">
        <f>IFERROR(F34-I34,0)</f>
        <v/>
      </c>
      <c r="M34" s="170">
        <f>IFERROR(L34-K34,0)</f>
        <v/>
      </c>
      <c r="N34" s="162">
        <f>IF(B34="","",IF(M34&gt;50000,"🟢 فرصة ممتازة",IF(M34&gt;20000,"🟡 فرصة جيدة",IF(M34&gt;0,"🟠 فرصة ضعيفة","🔴 غير مجدي اقتصادياً"))))</f>
        <v/>
      </c>
    </row>
    <row r="35" ht="15" customHeight="1" s="104">
      <c r="A35" s="149">
        <f>'1. بيانات العميل'!A35</f>
        <v/>
      </c>
      <c r="B35" s="156">
        <f>'1. بيانات العميل'!C35</f>
        <v/>
      </c>
      <c r="C35" s="149">
        <f>'4. محرك المخاطر'!R35</f>
        <v/>
      </c>
      <c r="D35" s="159">
        <f>'1. بيانات العميل'!K35</f>
        <v/>
      </c>
      <c r="E35" s="162">
        <f>IF(C35="A",20,IF(C35="B",15,IF(C35="C",10,0)))</f>
        <v/>
      </c>
      <c r="F35" s="158">
        <f>IFERROR(D35*E35,0)</f>
        <v/>
      </c>
      <c r="G35" s="159">
        <f>'2. الالتزامات'!K35</f>
        <v/>
      </c>
      <c r="H35" s="159">
        <f>'3. التنفيذات'!L35</f>
        <v/>
      </c>
      <c r="I35" s="158">
        <f>IFERROR(G35+H35,0)</f>
        <v/>
      </c>
      <c r="J35" s="169" t="n"/>
      <c r="K35" s="158">
        <f>IFERROR(F35*J35,0)</f>
        <v/>
      </c>
      <c r="L35" s="158">
        <f>IFERROR(F35-I35,0)</f>
        <v/>
      </c>
      <c r="M35" s="170">
        <f>IFERROR(L35-K35,0)</f>
        <v/>
      </c>
      <c r="N35" s="162">
        <f>IF(B35="","",IF(M35&gt;50000,"🟢 فرصة ممتازة",IF(M35&gt;20000,"🟡 فرصة جيدة",IF(M35&gt;0,"🟠 فرصة ضعيفة","🔴 غير مجدي اقتصادياً"))))</f>
        <v/>
      </c>
    </row>
    <row r="36" ht="15" customHeight="1" s="104">
      <c r="A36" s="149">
        <f>'1. بيانات العميل'!A36</f>
        <v/>
      </c>
      <c r="B36" s="156">
        <f>'1. بيانات العميل'!C36</f>
        <v/>
      </c>
      <c r="C36" s="149">
        <f>'4. محرك المخاطر'!R36</f>
        <v/>
      </c>
      <c r="D36" s="159">
        <f>'1. بيانات العميل'!K36</f>
        <v/>
      </c>
      <c r="E36" s="162">
        <f>IF(C36="A",20,IF(C36="B",15,IF(C36="C",10,0)))</f>
        <v/>
      </c>
      <c r="F36" s="158">
        <f>IFERROR(D36*E36,0)</f>
        <v/>
      </c>
      <c r="G36" s="159">
        <f>'2. الالتزامات'!K36</f>
        <v/>
      </c>
      <c r="H36" s="159">
        <f>'3. التنفيذات'!L36</f>
        <v/>
      </c>
      <c r="I36" s="158">
        <f>IFERROR(G36+H36,0)</f>
        <v/>
      </c>
      <c r="J36" s="169" t="n"/>
      <c r="K36" s="158">
        <f>IFERROR(F36*J36,0)</f>
        <v/>
      </c>
      <c r="L36" s="158">
        <f>IFERROR(F36-I36,0)</f>
        <v/>
      </c>
      <c r="M36" s="170">
        <f>IFERROR(L36-K36,0)</f>
        <v/>
      </c>
      <c r="N36" s="162">
        <f>IF(B36="","",IF(M36&gt;50000,"🟢 فرصة ممتازة",IF(M36&gt;20000,"🟡 فرصة جيدة",IF(M36&gt;0,"🟠 فرصة ضعيفة","🔴 غير مجدي اقتصادياً"))))</f>
        <v/>
      </c>
    </row>
    <row r="37" ht="15" customHeight="1" s="104">
      <c r="A37" s="149">
        <f>'1. بيانات العميل'!A37</f>
        <v/>
      </c>
      <c r="B37" s="156">
        <f>'1. بيانات العميل'!C37</f>
        <v/>
      </c>
      <c r="C37" s="149">
        <f>'4. محرك المخاطر'!R37</f>
        <v/>
      </c>
      <c r="D37" s="159">
        <f>'1. بيانات العميل'!K37</f>
        <v/>
      </c>
      <c r="E37" s="162">
        <f>IF(C37="A",20,IF(C37="B",15,IF(C37="C",10,0)))</f>
        <v/>
      </c>
      <c r="F37" s="158">
        <f>IFERROR(D37*E37,0)</f>
        <v/>
      </c>
      <c r="G37" s="159">
        <f>'2. الالتزامات'!K37</f>
        <v/>
      </c>
      <c r="H37" s="159">
        <f>'3. التنفيذات'!L37</f>
        <v/>
      </c>
      <c r="I37" s="158">
        <f>IFERROR(G37+H37,0)</f>
        <v/>
      </c>
      <c r="J37" s="169" t="n"/>
      <c r="K37" s="158">
        <f>IFERROR(F37*J37,0)</f>
        <v/>
      </c>
      <c r="L37" s="158">
        <f>IFERROR(F37-I37,0)</f>
        <v/>
      </c>
      <c r="M37" s="170">
        <f>IFERROR(L37-K37,0)</f>
        <v/>
      </c>
      <c r="N37" s="162">
        <f>IF(B37="","",IF(M37&gt;50000,"🟢 فرصة ممتازة",IF(M37&gt;20000,"🟡 فرصة جيدة",IF(M37&gt;0,"🟠 فرصة ضعيفة","🔴 غير مجدي اقتصادياً"))))</f>
        <v/>
      </c>
    </row>
    <row r="38" ht="15" customHeight="1" s="104">
      <c r="A38" s="149">
        <f>'1. بيانات العميل'!A38</f>
        <v/>
      </c>
      <c r="B38" s="156">
        <f>'1. بيانات العميل'!C38</f>
        <v/>
      </c>
      <c r="C38" s="149">
        <f>'4. محرك المخاطر'!R38</f>
        <v/>
      </c>
      <c r="D38" s="159">
        <f>'1. بيانات العميل'!K38</f>
        <v/>
      </c>
      <c r="E38" s="162">
        <f>IF(C38="A",20,IF(C38="B",15,IF(C38="C",10,0)))</f>
        <v/>
      </c>
      <c r="F38" s="158">
        <f>IFERROR(D38*E38,0)</f>
        <v/>
      </c>
      <c r="G38" s="159">
        <f>'2. الالتزامات'!K38</f>
        <v/>
      </c>
      <c r="H38" s="159">
        <f>'3. التنفيذات'!L38</f>
        <v/>
      </c>
      <c r="I38" s="158">
        <f>IFERROR(G38+H38,0)</f>
        <v/>
      </c>
      <c r="J38" s="169" t="n"/>
      <c r="K38" s="158">
        <f>IFERROR(F38*J38,0)</f>
        <v/>
      </c>
      <c r="L38" s="158">
        <f>IFERROR(F38-I38,0)</f>
        <v/>
      </c>
      <c r="M38" s="170">
        <f>IFERROR(L38-K38,0)</f>
        <v/>
      </c>
      <c r="N38" s="162">
        <f>IF(B38="","",IF(M38&gt;50000,"🟢 فرصة ممتازة",IF(M38&gt;20000,"🟡 فرصة جيدة",IF(M38&gt;0,"🟠 فرصة ضعيفة","🔴 غير مجدي اقتصادياً"))))</f>
        <v/>
      </c>
    </row>
    <row r="39" ht="15" customHeight="1" s="104">
      <c r="A39" s="149">
        <f>'1. بيانات العميل'!A39</f>
        <v/>
      </c>
      <c r="B39" s="156">
        <f>'1. بيانات العميل'!C39</f>
        <v/>
      </c>
      <c r="C39" s="149">
        <f>'4. محرك المخاطر'!R39</f>
        <v/>
      </c>
      <c r="D39" s="159">
        <f>'1. بيانات العميل'!K39</f>
        <v/>
      </c>
      <c r="E39" s="162">
        <f>IF(C39="A",20,IF(C39="B",15,IF(C39="C",10,0)))</f>
        <v/>
      </c>
      <c r="F39" s="158">
        <f>IFERROR(D39*E39,0)</f>
        <v/>
      </c>
      <c r="G39" s="159">
        <f>'2. الالتزامات'!K39</f>
        <v/>
      </c>
      <c r="H39" s="159">
        <f>'3. التنفيذات'!L39</f>
        <v/>
      </c>
      <c r="I39" s="158">
        <f>IFERROR(G39+H39,0)</f>
        <v/>
      </c>
      <c r="J39" s="169" t="n"/>
      <c r="K39" s="158">
        <f>IFERROR(F39*J39,0)</f>
        <v/>
      </c>
      <c r="L39" s="158">
        <f>IFERROR(F39-I39,0)</f>
        <v/>
      </c>
      <c r="M39" s="170">
        <f>IFERROR(L39-K39,0)</f>
        <v/>
      </c>
      <c r="N39" s="162">
        <f>IF(B39="","",IF(M39&gt;50000,"🟢 فرصة ممتازة",IF(M39&gt;20000,"🟡 فرصة جيدة",IF(M39&gt;0,"🟠 فرصة ضعيفة","🔴 غير مجدي اقتصادياً"))))</f>
        <v/>
      </c>
    </row>
    <row r="40" ht="15" customHeight="1" s="104">
      <c r="A40" s="149">
        <f>'1. بيانات العميل'!A40</f>
        <v/>
      </c>
      <c r="B40" s="156">
        <f>'1. بيانات العميل'!C40</f>
        <v/>
      </c>
      <c r="C40" s="149">
        <f>'4. محرك المخاطر'!R40</f>
        <v/>
      </c>
      <c r="D40" s="159">
        <f>'1. بيانات العميل'!K40</f>
        <v/>
      </c>
      <c r="E40" s="162">
        <f>IF(C40="A",20,IF(C40="B",15,IF(C40="C",10,0)))</f>
        <v/>
      </c>
      <c r="F40" s="158">
        <f>IFERROR(D40*E40,0)</f>
        <v/>
      </c>
      <c r="G40" s="159">
        <f>'2. الالتزامات'!K40</f>
        <v/>
      </c>
      <c r="H40" s="159">
        <f>'3. التنفيذات'!L40</f>
        <v/>
      </c>
      <c r="I40" s="158">
        <f>IFERROR(G40+H40,0)</f>
        <v/>
      </c>
      <c r="J40" s="169" t="n"/>
      <c r="K40" s="158">
        <f>IFERROR(F40*J40,0)</f>
        <v/>
      </c>
      <c r="L40" s="158">
        <f>IFERROR(F40-I40,0)</f>
        <v/>
      </c>
      <c r="M40" s="170">
        <f>IFERROR(L40-K40,0)</f>
        <v/>
      </c>
      <c r="N40" s="162">
        <f>IF(B40="","",IF(M40&gt;50000,"🟢 فرصة ممتازة",IF(M40&gt;20000,"🟡 فرصة جيدة",IF(M40&gt;0,"🟠 فرصة ضعيفة","🔴 غير مجدي اقتصادياً"))))</f>
        <v/>
      </c>
    </row>
    <row r="41" ht="15" customHeight="1" s="104">
      <c r="A41" s="149">
        <f>'1. بيانات العميل'!A41</f>
        <v/>
      </c>
      <c r="B41" s="156">
        <f>'1. بيانات العميل'!C41</f>
        <v/>
      </c>
      <c r="C41" s="149">
        <f>'4. محرك المخاطر'!R41</f>
        <v/>
      </c>
      <c r="D41" s="159">
        <f>'1. بيانات العميل'!K41</f>
        <v/>
      </c>
      <c r="E41" s="162">
        <f>IF(C41="A",20,IF(C41="B",15,IF(C41="C",10,0)))</f>
        <v/>
      </c>
      <c r="F41" s="158">
        <f>IFERROR(D41*E41,0)</f>
        <v/>
      </c>
      <c r="G41" s="159">
        <f>'2. الالتزامات'!K41</f>
        <v/>
      </c>
      <c r="H41" s="159">
        <f>'3. التنفيذات'!L41</f>
        <v/>
      </c>
      <c r="I41" s="158">
        <f>IFERROR(G41+H41,0)</f>
        <v/>
      </c>
      <c r="J41" s="169" t="n"/>
      <c r="K41" s="158">
        <f>IFERROR(F41*J41,0)</f>
        <v/>
      </c>
      <c r="L41" s="158">
        <f>IFERROR(F41-I41,0)</f>
        <v/>
      </c>
      <c r="M41" s="170">
        <f>IFERROR(L41-K41,0)</f>
        <v/>
      </c>
      <c r="N41" s="162">
        <f>IF(B41="","",IF(M41&gt;50000,"🟢 فرصة ممتازة",IF(M41&gt;20000,"🟡 فرصة جيدة",IF(M41&gt;0,"🟠 فرصة ضعيفة","🔴 غير مجدي اقتصادياً"))))</f>
        <v/>
      </c>
    </row>
    <row r="42" ht="15" customHeight="1" s="104">
      <c r="A42" s="149">
        <f>'1. بيانات العميل'!A42</f>
        <v/>
      </c>
      <c r="B42" s="156">
        <f>'1. بيانات العميل'!C42</f>
        <v/>
      </c>
      <c r="C42" s="149">
        <f>'4. محرك المخاطر'!R42</f>
        <v/>
      </c>
      <c r="D42" s="159">
        <f>'1. بيانات العميل'!K42</f>
        <v/>
      </c>
      <c r="E42" s="162">
        <f>IF(C42="A",20,IF(C42="B",15,IF(C42="C",10,0)))</f>
        <v/>
      </c>
      <c r="F42" s="158">
        <f>IFERROR(D42*E42,0)</f>
        <v/>
      </c>
      <c r="G42" s="159">
        <f>'2. الالتزامات'!K42</f>
        <v/>
      </c>
      <c r="H42" s="159">
        <f>'3. التنفيذات'!L42</f>
        <v/>
      </c>
      <c r="I42" s="158">
        <f>IFERROR(G42+H42,0)</f>
        <v/>
      </c>
      <c r="J42" s="169" t="n"/>
      <c r="K42" s="158">
        <f>IFERROR(F42*J42,0)</f>
        <v/>
      </c>
      <c r="L42" s="158">
        <f>IFERROR(F42-I42,0)</f>
        <v/>
      </c>
      <c r="M42" s="170">
        <f>IFERROR(L42-K42,0)</f>
        <v/>
      </c>
      <c r="N42" s="162">
        <f>IF(B42="","",IF(M42&gt;50000,"🟢 فرصة ممتازة",IF(M42&gt;20000,"🟡 فرصة جيدة",IF(M42&gt;0,"🟠 فرصة ضعيفة","🔴 غير مجدي اقتصادياً"))))</f>
        <v/>
      </c>
    </row>
    <row r="43" ht="15" customHeight="1" s="104">
      <c r="A43" s="149">
        <f>'1. بيانات العميل'!A43</f>
        <v/>
      </c>
      <c r="B43" s="156">
        <f>'1. بيانات العميل'!C43</f>
        <v/>
      </c>
      <c r="C43" s="149">
        <f>'4. محرك المخاطر'!R43</f>
        <v/>
      </c>
      <c r="D43" s="159">
        <f>'1. بيانات العميل'!K43</f>
        <v/>
      </c>
      <c r="E43" s="162">
        <f>IF(C43="A",20,IF(C43="B",15,IF(C43="C",10,0)))</f>
        <v/>
      </c>
      <c r="F43" s="158">
        <f>IFERROR(D43*E43,0)</f>
        <v/>
      </c>
      <c r="G43" s="159">
        <f>'2. الالتزامات'!K43</f>
        <v/>
      </c>
      <c r="H43" s="159">
        <f>'3. التنفيذات'!L43</f>
        <v/>
      </c>
      <c r="I43" s="158">
        <f>IFERROR(G43+H43,0)</f>
        <v/>
      </c>
      <c r="J43" s="169" t="n"/>
      <c r="K43" s="158">
        <f>IFERROR(F43*J43,0)</f>
        <v/>
      </c>
      <c r="L43" s="158">
        <f>IFERROR(F43-I43,0)</f>
        <v/>
      </c>
      <c r="M43" s="170">
        <f>IFERROR(L43-K43,0)</f>
        <v/>
      </c>
      <c r="N43" s="162">
        <f>IF(B43="","",IF(M43&gt;50000,"🟢 فرصة ممتازة",IF(M43&gt;20000,"🟡 فرصة جيدة",IF(M43&gt;0,"🟠 فرصة ضعيفة","🔴 غير مجدي اقتصادياً"))))</f>
        <v/>
      </c>
    </row>
    <row r="44" ht="15" customHeight="1" s="104">
      <c r="A44" s="149">
        <f>'1. بيانات العميل'!A44</f>
        <v/>
      </c>
      <c r="B44" s="156">
        <f>'1. بيانات العميل'!C44</f>
        <v/>
      </c>
      <c r="C44" s="149">
        <f>'4. محرك المخاطر'!R44</f>
        <v/>
      </c>
      <c r="D44" s="159">
        <f>'1. بيانات العميل'!K44</f>
        <v/>
      </c>
      <c r="E44" s="162">
        <f>IF(C44="A",20,IF(C44="B",15,IF(C44="C",10,0)))</f>
        <v/>
      </c>
      <c r="F44" s="158">
        <f>IFERROR(D44*E44,0)</f>
        <v/>
      </c>
      <c r="G44" s="159">
        <f>'2. الالتزامات'!K44</f>
        <v/>
      </c>
      <c r="H44" s="159">
        <f>'3. التنفيذات'!L44</f>
        <v/>
      </c>
      <c r="I44" s="158">
        <f>IFERROR(G44+H44,0)</f>
        <v/>
      </c>
      <c r="J44" s="169" t="n"/>
      <c r="K44" s="158">
        <f>IFERROR(F44*J44,0)</f>
        <v/>
      </c>
      <c r="L44" s="158">
        <f>IFERROR(F44-I44,0)</f>
        <v/>
      </c>
      <c r="M44" s="170">
        <f>IFERROR(L44-K44,0)</f>
        <v/>
      </c>
      <c r="N44" s="162">
        <f>IF(B44="","",IF(M44&gt;50000,"🟢 فرصة ممتازة",IF(M44&gt;20000,"🟡 فرصة جيدة",IF(M44&gt;0,"🟠 فرصة ضعيفة","🔴 غير مجدي اقتصادياً"))))</f>
        <v/>
      </c>
    </row>
    <row r="45" ht="15" customHeight="1" s="104">
      <c r="A45" s="149">
        <f>'1. بيانات العميل'!A45</f>
        <v/>
      </c>
      <c r="B45" s="156">
        <f>'1. بيانات العميل'!C45</f>
        <v/>
      </c>
      <c r="C45" s="149">
        <f>'4. محرك المخاطر'!R45</f>
        <v/>
      </c>
      <c r="D45" s="159">
        <f>'1. بيانات العميل'!K45</f>
        <v/>
      </c>
      <c r="E45" s="162">
        <f>IF(C45="A",20,IF(C45="B",15,IF(C45="C",10,0)))</f>
        <v/>
      </c>
      <c r="F45" s="158">
        <f>IFERROR(D45*E45,0)</f>
        <v/>
      </c>
      <c r="G45" s="159">
        <f>'2. الالتزامات'!K45</f>
        <v/>
      </c>
      <c r="H45" s="159">
        <f>'3. التنفيذات'!L45</f>
        <v/>
      </c>
      <c r="I45" s="158">
        <f>IFERROR(G45+H45,0)</f>
        <v/>
      </c>
      <c r="J45" s="169" t="n"/>
      <c r="K45" s="158">
        <f>IFERROR(F45*J45,0)</f>
        <v/>
      </c>
      <c r="L45" s="158">
        <f>IFERROR(F45-I45,0)</f>
        <v/>
      </c>
      <c r="M45" s="170">
        <f>IFERROR(L45-K45,0)</f>
        <v/>
      </c>
      <c r="N45" s="162">
        <f>IF(B45="","",IF(M45&gt;50000,"🟢 فرصة ممتازة",IF(M45&gt;20000,"🟡 فرصة جيدة",IF(M45&gt;0,"🟠 فرصة ضعيفة","🔴 غير مجدي اقتصادياً"))))</f>
        <v/>
      </c>
    </row>
    <row r="46" ht="15" customHeight="1" s="104">
      <c r="A46" s="149">
        <f>'1. بيانات العميل'!A46</f>
        <v/>
      </c>
      <c r="B46" s="156">
        <f>'1. بيانات العميل'!C46</f>
        <v/>
      </c>
      <c r="C46" s="149">
        <f>'4. محرك المخاطر'!R46</f>
        <v/>
      </c>
      <c r="D46" s="159">
        <f>'1. بيانات العميل'!K46</f>
        <v/>
      </c>
      <c r="E46" s="162">
        <f>IF(C46="A",20,IF(C46="B",15,IF(C46="C",10,0)))</f>
        <v/>
      </c>
      <c r="F46" s="158">
        <f>IFERROR(D46*E46,0)</f>
        <v/>
      </c>
      <c r="G46" s="159">
        <f>'2. الالتزامات'!K46</f>
        <v/>
      </c>
      <c r="H46" s="159">
        <f>'3. التنفيذات'!L46</f>
        <v/>
      </c>
      <c r="I46" s="158">
        <f>IFERROR(G46+H46,0)</f>
        <v/>
      </c>
      <c r="J46" s="169" t="n"/>
      <c r="K46" s="158">
        <f>IFERROR(F46*J46,0)</f>
        <v/>
      </c>
      <c r="L46" s="158">
        <f>IFERROR(F46-I46,0)</f>
        <v/>
      </c>
      <c r="M46" s="170">
        <f>IFERROR(L46-K46,0)</f>
        <v/>
      </c>
      <c r="N46" s="162">
        <f>IF(B46="","",IF(M46&gt;50000,"🟢 فرصة ممتازة",IF(M46&gt;20000,"🟡 فرصة جيدة",IF(M46&gt;0,"🟠 فرصة ضعيفة","🔴 غير مجدي اقتصادياً"))))</f>
        <v/>
      </c>
    </row>
    <row r="47" ht="15" customHeight="1" s="104">
      <c r="A47" s="149">
        <f>'1. بيانات العميل'!A47</f>
        <v/>
      </c>
      <c r="B47" s="156">
        <f>'1. بيانات العميل'!C47</f>
        <v/>
      </c>
      <c r="C47" s="149">
        <f>'4. محرك المخاطر'!R47</f>
        <v/>
      </c>
      <c r="D47" s="159">
        <f>'1. بيانات العميل'!K47</f>
        <v/>
      </c>
      <c r="E47" s="162">
        <f>IF(C47="A",20,IF(C47="B",15,IF(C47="C",10,0)))</f>
        <v/>
      </c>
      <c r="F47" s="158">
        <f>IFERROR(D47*E47,0)</f>
        <v/>
      </c>
      <c r="G47" s="159">
        <f>'2. الالتزامات'!K47</f>
        <v/>
      </c>
      <c r="H47" s="159">
        <f>'3. التنفيذات'!L47</f>
        <v/>
      </c>
      <c r="I47" s="158">
        <f>IFERROR(G47+H47,0)</f>
        <v/>
      </c>
      <c r="J47" s="169" t="n"/>
      <c r="K47" s="158">
        <f>IFERROR(F47*J47,0)</f>
        <v/>
      </c>
      <c r="L47" s="158">
        <f>IFERROR(F47-I47,0)</f>
        <v/>
      </c>
      <c r="M47" s="170">
        <f>IFERROR(L47-K47,0)</f>
        <v/>
      </c>
      <c r="N47" s="162">
        <f>IF(B47="","",IF(M47&gt;50000,"🟢 فرصة ممتازة",IF(M47&gt;20000,"🟡 فرصة جيدة",IF(M47&gt;0,"🟠 فرصة ضعيفة","🔴 غير مجدي اقتصادياً"))))</f>
        <v/>
      </c>
    </row>
    <row r="48" ht="15" customHeight="1" s="104">
      <c r="A48" s="149">
        <f>'1. بيانات العميل'!A48</f>
        <v/>
      </c>
      <c r="B48" s="156">
        <f>'1. بيانات العميل'!C48</f>
        <v/>
      </c>
      <c r="C48" s="149">
        <f>'4. محرك المخاطر'!R48</f>
        <v/>
      </c>
      <c r="D48" s="159">
        <f>'1. بيانات العميل'!K48</f>
        <v/>
      </c>
      <c r="E48" s="162">
        <f>IF(C48="A",20,IF(C48="B",15,IF(C48="C",10,0)))</f>
        <v/>
      </c>
      <c r="F48" s="158">
        <f>IFERROR(D48*E48,0)</f>
        <v/>
      </c>
      <c r="G48" s="159">
        <f>'2. الالتزامات'!K48</f>
        <v/>
      </c>
      <c r="H48" s="159">
        <f>'3. التنفيذات'!L48</f>
        <v/>
      </c>
      <c r="I48" s="158">
        <f>IFERROR(G48+H48,0)</f>
        <v/>
      </c>
      <c r="J48" s="169" t="n"/>
      <c r="K48" s="158">
        <f>IFERROR(F48*J48,0)</f>
        <v/>
      </c>
      <c r="L48" s="158">
        <f>IFERROR(F48-I48,0)</f>
        <v/>
      </c>
      <c r="M48" s="170">
        <f>IFERROR(L48-K48,0)</f>
        <v/>
      </c>
      <c r="N48" s="162">
        <f>IF(B48="","",IF(M48&gt;50000,"🟢 فرصة ممتازة",IF(M48&gt;20000,"🟡 فرصة جيدة",IF(M48&gt;0,"🟠 فرصة ضعيفة","🔴 غير مجدي اقتصادياً"))))</f>
        <v/>
      </c>
    </row>
    <row r="49" ht="15" customHeight="1" s="104">
      <c r="A49" s="149">
        <f>'1. بيانات العميل'!A49</f>
        <v/>
      </c>
      <c r="B49" s="156">
        <f>'1. بيانات العميل'!C49</f>
        <v/>
      </c>
      <c r="C49" s="149">
        <f>'4. محرك المخاطر'!R49</f>
        <v/>
      </c>
      <c r="D49" s="159">
        <f>'1. بيانات العميل'!K49</f>
        <v/>
      </c>
      <c r="E49" s="162">
        <f>IF(C49="A",20,IF(C49="B",15,IF(C49="C",10,0)))</f>
        <v/>
      </c>
      <c r="F49" s="158">
        <f>IFERROR(D49*E49,0)</f>
        <v/>
      </c>
      <c r="G49" s="159">
        <f>'2. الالتزامات'!K49</f>
        <v/>
      </c>
      <c r="H49" s="159">
        <f>'3. التنفيذات'!L49</f>
        <v/>
      </c>
      <c r="I49" s="158">
        <f>IFERROR(G49+H49,0)</f>
        <v/>
      </c>
      <c r="J49" s="169" t="n"/>
      <c r="K49" s="158">
        <f>IFERROR(F49*J49,0)</f>
        <v/>
      </c>
      <c r="L49" s="158">
        <f>IFERROR(F49-I49,0)</f>
        <v/>
      </c>
      <c r="M49" s="170">
        <f>IFERROR(L49-K49,0)</f>
        <v/>
      </c>
      <c r="N49" s="162">
        <f>IF(B49="","",IF(M49&gt;50000,"🟢 فرصة ممتازة",IF(M49&gt;20000,"🟡 فرصة جيدة",IF(M49&gt;0,"🟠 فرصة ضعيفة","🔴 غير مجدي اقتصادياً"))))</f>
        <v/>
      </c>
    </row>
    <row r="50" ht="15" customHeight="1" s="104">
      <c r="A50" s="149">
        <f>'1. بيانات العميل'!A50</f>
        <v/>
      </c>
      <c r="B50" s="156">
        <f>'1. بيانات العميل'!C50</f>
        <v/>
      </c>
      <c r="C50" s="149">
        <f>'4. محرك المخاطر'!R50</f>
        <v/>
      </c>
      <c r="D50" s="159">
        <f>'1. بيانات العميل'!K50</f>
        <v/>
      </c>
      <c r="E50" s="162">
        <f>IF(C50="A",20,IF(C50="B",15,IF(C50="C",10,0)))</f>
        <v/>
      </c>
      <c r="F50" s="158">
        <f>IFERROR(D50*E50,0)</f>
        <v/>
      </c>
      <c r="G50" s="159">
        <f>'2. الالتزامات'!K50</f>
        <v/>
      </c>
      <c r="H50" s="159">
        <f>'3. التنفيذات'!L50</f>
        <v/>
      </c>
      <c r="I50" s="158">
        <f>IFERROR(G50+H50,0)</f>
        <v/>
      </c>
      <c r="J50" s="169" t="n"/>
      <c r="K50" s="158">
        <f>IFERROR(F50*J50,0)</f>
        <v/>
      </c>
      <c r="L50" s="158">
        <f>IFERROR(F50-I50,0)</f>
        <v/>
      </c>
      <c r="M50" s="170">
        <f>IFERROR(L50-K50,0)</f>
        <v/>
      </c>
      <c r="N50" s="162">
        <f>IF(B50="","",IF(M50&gt;50000,"🟢 فرصة ممتازة",IF(M50&gt;20000,"🟡 فرصة جيدة",IF(M50&gt;0,"🟠 فرصة ضعيفة","🔴 غير مجدي اقتصادياً"))))</f>
        <v/>
      </c>
    </row>
    <row r="51" ht="15" customHeight="1" s="104">
      <c r="A51" s="149">
        <f>'1. بيانات العميل'!A51</f>
        <v/>
      </c>
      <c r="B51" s="156">
        <f>'1. بيانات العميل'!C51</f>
        <v/>
      </c>
      <c r="C51" s="149">
        <f>'4. محرك المخاطر'!R51</f>
        <v/>
      </c>
      <c r="D51" s="159">
        <f>'1. بيانات العميل'!K51</f>
        <v/>
      </c>
      <c r="E51" s="162">
        <f>IF(C51="A",20,IF(C51="B",15,IF(C51="C",10,0)))</f>
        <v/>
      </c>
      <c r="F51" s="158">
        <f>IFERROR(D51*E51,0)</f>
        <v/>
      </c>
      <c r="G51" s="159">
        <f>'2. الالتزامات'!K51</f>
        <v/>
      </c>
      <c r="H51" s="159">
        <f>'3. التنفيذات'!L51</f>
        <v/>
      </c>
      <c r="I51" s="158">
        <f>IFERROR(G51+H51,0)</f>
        <v/>
      </c>
      <c r="J51" s="169" t="n"/>
      <c r="K51" s="158">
        <f>IFERROR(F51*J51,0)</f>
        <v/>
      </c>
      <c r="L51" s="158">
        <f>IFERROR(F51-I51,0)</f>
        <v/>
      </c>
      <c r="M51" s="170">
        <f>IFERROR(L51-K51,0)</f>
        <v/>
      </c>
      <c r="N51" s="162">
        <f>IF(B51="","",IF(M51&gt;50000,"🟢 فرصة ممتازة",IF(M51&gt;20000,"🟡 فرصة جيدة",IF(M51&gt;0,"🟠 فرصة ضعيفة","🔴 غير مجدي اقتصادياً"))))</f>
        <v/>
      </c>
    </row>
    <row r="52" ht="15" customHeight="1" s="104">
      <c r="A52" s="149">
        <f>'1. بيانات العميل'!A52</f>
        <v/>
      </c>
      <c r="B52" s="156">
        <f>'1. بيانات العميل'!C52</f>
        <v/>
      </c>
      <c r="C52" s="149">
        <f>'4. محرك المخاطر'!R52</f>
        <v/>
      </c>
      <c r="D52" s="159">
        <f>'1. بيانات العميل'!K52</f>
        <v/>
      </c>
      <c r="E52" s="162">
        <f>IF(C52="A",20,IF(C52="B",15,IF(C52="C",10,0)))</f>
        <v/>
      </c>
      <c r="F52" s="158">
        <f>IFERROR(D52*E52,0)</f>
        <v/>
      </c>
      <c r="G52" s="159">
        <f>'2. الالتزامات'!K52</f>
        <v/>
      </c>
      <c r="H52" s="159">
        <f>'3. التنفيذات'!L52</f>
        <v/>
      </c>
      <c r="I52" s="158">
        <f>IFERROR(G52+H52,0)</f>
        <v/>
      </c>
      <c r="J52" s="169" t="n"/>
      <c r="K52" s="158">
        <f>IFERROR(F52*J52,0)</f>
        <v/>
      </c>
      <c r="L52" s="158">
        <f>IFERROR(F52-I52,0)</f>
        <v/>
      </c>
      <c r="M52" s="170">
        <f>IFERROR(L52-K52,0)</f>
        <v/>
      </c>
      <c r="N52" s="162">
        <f>IF(B52="","",IF(M52&gt;50000,"🟢 فرصة ممتازة",IF(M52&gt;20000,"🟡 فرصة جيدة",IF(M52&gt;0,"🟠 فرصة ضعيفة","🔴 غير مجدي اقتصادياً"))))</f>
        <v/>
      </c>
    </row>
    <row r="53" ht="15" customHeight="1" s="104">
      <c r="A53" s="149">
        <f>'1. بيانات العميل'!A53</f>
        <v/>
      </c>
      <c r="B53" s="156">
        <f>'1. بيانات العميل'!C53</f>
        <v/>
      </c>
      <c r="C53" s="149">
        <f>'4. محرك المخاطر'!R53</f>
        <v/>
      </c>
      <c r="D53" s="159">
        <f>'1. بيانات العميل'!K53</f>
        <v/>
      </c>
      <c r="E53" s="162">
        <f>IF(C53="A",20,IF(C53="B",15,IF(C53="C",10,0)))</f>
        <v/>
      </c>
      <c r="F53" s="158">
        <f>IFERROR(D53*E53,0)</f>
        <v/>
      </c>
      <c r="G53" s="159">
        <f>'2. الالتزامات'!K53</f>
        <v/>
      </c>
      <c r="H53" s="159">
        <f>'3. التنفيذات'!L53</f>
        <v/>
      </c>
      <c r="I53" s="158">
        <f>IFERROR(G53+H53,0)</f>
        <v/>
      </c>
      <c r="J53" s="169" t="n"/>
      <c r="K53" s="158">
        <f>IFERROR(F53*J53,0)</f>
        <v/>
      </c>
      <c r="L53" s="158">
        <f>IFERROR(F53-I53,0)</f>
        <v/>
      </c>
      <c r="M53" s="170">
        <f>IFERROR(L53-K53,0)</f>
        <v/>
      </c>
      <c r="N53" s="162">
        <f>IF(B53="","",IF(M53&gt;50000,"🟢 فرصة ممتازة",IF(M53&gt;20000,"🟡 فرصة جيدة",IF(M53&gt;0,"🟠 فرصة ضعيفة","🔴 غير مجدي اقتصادياً"))))</f>
        <v/>
      </c>
    </row>
  </sheetData>
  <mergeCells count="1">
    <mergeCell ref="A1:N1"/>
  </mergeCells>
  <conditionalFormatting sqref="M4:M53">
    <cfRule type="cellIs" rank="0" priority="2" equalAverage="0" operator="greaterThan" aboveAverage="0" dxfId="0" text="" percent="0" bottom="0">
      <formula>50000</formula>
    </cfRule>
    <cfRule type="cellIs" rank="0" priority="3" equalAverage="0" operator="between" aboveAverage="0" dxfId="6" text="" percent="0" bottom="0">
      <formula>0</formula>
      <formula>50000</formula>
    </cfRule>
    <cfRule type="cellIs" rank="0" priority="4" equalAverage="0" operator="lessThan" aboveAverage="0" dxfId="3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9A227"/>
    <outlinePr summaryBelow="1" summaryRight="1"/>
    <pageSetUpPr fitToPage="0"/>
  </sheetPr>
  <dimension ref="A1:P5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03" min="1" max="1"/>
    <col width="28" customWidth="1" style="103" min="2" max="2"/>
    <col width="10" customWidth="1" style="103" min="3" max="3"/>
    <col width="26" customWidth="1" style="103" min="4" max="4"/>
    <col width="24" customWidth="1" style="103" min="5" max="5"/>
    <col width="20" customWidth="1" style="103" min="6" max="6"/>
    <col width="14" customWidth="1" style="103" min="7" max="7"/>
    <col width="18" customWidth="1" style="103" min="8" max="8"/>
    <col width="20" customWidth="1" style="103" min="9" max="9"/>
    <col width="14" customWidth="1" style="103" min="10" max="10"/>
    <col width="18" customWidth="1" style="103" min="11" max="11"/>
    <col width="20" customWidth="1" style="103" min="12" max="12"/>
    <col width="14" customWidth="1" style="103" min="13" max="13"/>
    <col width="18" customWidth="1" style="103" min="14" max="14"/>
    <col width="30" customWidth="1" style="103" min="15" max="15"/>
    <col width="16" customWidth="1" style="103" min="16" max="16"/>
  </cols>
  <sheetData>
    <row r="1" ht="45" customHeight="1" s="104">
      <c r="A1" s="155" t="inlineStr">
        <is>
          <t>✅  نظام الاعتمادات والـ Workflow - Approvals &amp; Workflow Management</t>
        </is>
      </c>
    </row>
    <row r="3" ht="39.75" customHeight="1" s="104">
      <c r="A3" s="138" t="inlineStr">
        <is>
          <t>رقم الملف</t>
        </is>
      </c>
      <c r="B3" s="138" t="inlineStr">
        <is>
          <t>اسم العميل</t>
        </is>
      </c>
      <c r="C3" s="138" t="inlineStr">
        <is>
          <t>التصنيف</t>
        </is>
      </c>
      <c r="D3" s="138" t="inlineStr">
        <is>
          <t>الحالة النهائية</t>
        </is>
      </c>
      <c r="E3" s="137" t="inlineStr">
        <is>
          <t>مرحلة
Workflow</t>
        </is>
      </c>
      <c r="F3" s="171" t="inlineStr">
        <is>
          <t>محلل الائتمان
الاسم</t>
        </is>
      </c>
      <c r="G3" s="171" t="inlineStr">
        <is>
          <t>محلل الائتمان
التاريخ</t>
        </is>
      </c>
      <c r="H3" s="171" t="inlineStr">
        <is>
          <t>محلل الائتمان
التوصية</t>
        </is>
      </c>
      <c r="I3" s="172" t="inlineStr">
        <is>
          <t>مدير العمليات
الاسم</t>
        </is>
      </c>
      <c r="J3" s="172" t="inlineStr">
        <is>
          <t>مدير العمليات
التاريخ</t>
        </is>
      </c>
      <c r="K3" s="172" t="inlineStr">
        <is>
          <t>مدير العمليات
القرار</t>
        </is>
      </c>
      <c r="L3" s="161" t="inlineStr">
        <is>
          <t>الإدارة المالية
الاسم</t>
        </is>
      </c>
      <c r="M3" s="161" t="inlineStr">
        <is>
          <t>الإدارة المالية
التاريخ</t>
        </is>
      </c>
      <c r="N3" s="161" t="inlineStr">
        <is>
          <t>الإدارة المالية
القرار</t>
        </is>
      </c>
      <c r="O3" s="171" t="inlineStr">
        <is>
          <t>ملاحظات
عامة</t>
        </is>
      </c>
      <c r="P3" s="171" t="inlineStr">
        <is>
          <t>تاريخ الاكتمال</t>
        </is>
      </c>
    </row>
    <row r="4" ht="15" customHeight="1" s="104">
      <c r="A4" s="149">
        <f>'1. بيانات العميل'!A4</f>
        <v/>
      </c>
      <c r="B4" s="156">
        <f>'1. بيانات العميل'!C4</f>
        <v/>
      </c>
      <c r="C4" s="164">
        <f>'4. محرك المخاطر'!R4</f>
        <v/>
      </c>
      <c r="D4" s="164">
        <f>'4. محرك المخاطر'!S4</f>
        <v/>
      </c>
      <c r="E4" s="164">
        <f>'1. بيانات العميل'!R4</f>
        <v/>
      </c>
      <c r="F4" s="151" t="inlineStr">
        <is>
          <t>أحمد عسيري</t>
        </is>
      </c>
      <c r="G4" s="173" t="inlineStr">
        <is>
          <t>2026-05-30</t>
        </is>
      </c>
      <c r="H4" s="152" t="inlineStr">
        <is>
          <t>موصى به للتمويل</t>
        </is>
      </c>
      <c r="I4" s="151" t="inlineStr">
        <is>
          <t>خالد الحربي</t>
        </is>
      </c>
      <c r="J4" s="173" t="inlineStr">
        <is>
          <t>2026-05-30</t>
        </is>
      </c>
      <c r="K4" s="152" t="inlineStr">
        <is>
          <t>معتمد للتمويل</t>
        </is>
      </c>
      <c r="L4" s="151" t="inlineStr">
        <is>
          <t>فهد العتيبي</t>
        </is>
      </c>
      <c r="M4" s="173" t="inlineStr">
        <is>
          <t>2026-05-30</t>
        </is>
      </c>
      <c r="N4" s="152" t="inlineStr">
        <is>
          <t>مقبول ومعتمد للصرف</t>
        </is>
      </c>
      <c r="O4" s="151" t="inlineStr">
        <is>
          <t>الملف مستوفي كافة شروط الفحص المالي والتحليل الائتماني</t>
        </is>
      </c>
      <c r="P4" s="173" t="inlineStr">
        <is>
          <t>2026-05-30</t>
        </is>
      </c>
    </row>
    <row r="5" ht="15" customHeight="1" s="104">
      <c r="A5" s="149">
        <f>'1. بيانات العميل'!A5</f>
        <v/>
      </c>
      <c r="B5" s="156">
        <f>'1. بيانات العميل'!C5</f>
        <v/>
      </c>
      <c r="C5" s="164">
        <f>'4. محرك المخاطر'!R5</f>
        <v/>
      </c>
      <c r="D5" s="164">
        <f>'4. محرك المخاطر'!S5</f>
        <v/>
      </c>
      <c r="E5" s="164">
        <f>'1. بيانات العميل'!R5</f>
        <v/>
      </c>
      <c r="F5" s="151" t="inlineStr">
        <is>
          <t>أحمد عسيري</t>
        </is>
      </c>
      <c r="G5" s="173" t="inlineStr">
        <is>
          <t>2026-05-30</t>
        </is>
      </c>
      <c r="H5" s="152" t="inlineStr">
        <is>
          <t>موصى به للتمويل</t>
        </is>
      </c>
      <c r="I5" s="151" t="inlineStr">
        <is>
          <t>خالد الحربي</t>
        </is>
      </c>
      <c r="J5" s="173" t="inlineStr">
        <is>
          <t>2026-05-30</t>
        </is>
      </c>
      <c r="K5" s="152" t="inlineStr">
        <is>
          <t>معتمد للتمويل</t>
        </is>
      </c>
      <c r="L5" s="151" t="inlineStr">
        <is>
          <t>فهد العتيبي</t>
        </is>
      </c>
      <c r="M5" s="173" t="inlineStr">
        <is>
          <t>2026-05-30</t>
        </is>
      </c>
      <c r="N5" s="152" t="inlineStr">
        <is>
          <t>مقبول ومعتمد للصرف</t>
        </is>
      </c>
      <c r="O5" s="151" t="inlineStr">
        <is>
          <t>الملف مستوفي كافة شروط الفحص المالي والتحليل الائتماني</t>
        </is>
      </c>
      <c r="P5" s="173" t="inlineStr">
        <is>
          <t>2026-05-30</t>
        </is>
      </c>
    </row>
    <row r="6" ht="15" customHeight="1" s="104">
      <c r="A6" s="149">
        <f>'1. بيانات العميل'!A6</f>
        <v/>
      </c>
      <c r="B6" s="156">
        <f>'1. بيانات العميل'!C6</f>
        <v/>
      </c>
      <c r="C6" s="164">
        <f>'4. محرك المخاطر'!R6</f>
        <v/>
      </c>
      <c r="D6" s="164">
        <f>'4. محرك المخاطر'!S6</f>
        <v/>
      </c>
      <c r="E6" s="164">
        <f>'1. بيانات العميل'!R6</f>
        <v/>
      </c>
      <c r="F6" s="151" t="inlineStr">
        <is>
          <t>أحمد عسيري</t>
        </is>
      </c>
      <c r="G6" s="173" t="inlineStr">
        <is>
          <t>2026-05-30</t>
        </is>
      </c>
      <c r="H6" s="152" t="inlineStr">
        <is>
          <t>موصى به للتمويل</t>
        </is>
      </c>
      <c r="I6" s="151" t="inlineStr">
        <is>
          <t>خالد الحربي</t>
        </is>
      </c>
      <c r="J6" s="173" t="inlineStr">
        <is>
          <t>2026-05-30</t>
        </is>
      </c>
      <c r="K6" s="152" t="inlineStr">
        <is>
          <t>معتمد للتمويل</t>
        </is>
      </c>
      <c r="L6" s="151" t="inlineStr">
        <is>
          <t>فهد العتيبي</t>
        </is>
      </c>
      <c r="M6" s="173" t="inlineStr">
        <is>
          <t>2026-05-30</t>
        </is>
      </c>
      <c r="N6" s="152" t="inlineStr">
        <is>
          <t>مقبول ومعتمد للصرف</t>
        </is>
      </c>
      <c r="O6" s="151" t="inlineStr">
        <is>
          <t>الملف مستوفي كافة شروط الفحص المالي والتحليل الائتماني</t>
        </is>
      </c>
      <c r="P6" s="173" t="inlineStr">
        <is>
          <t>2026-05-30</t>
        </is>
      </c>
    </row>
    <row r="7" ht="15" customHeight="1" s="104">
      <c r="A7" s="149">
        <f>'1. بيانات العميل'!A7</f>
        <v/>
      </c>
      <c r="B7" s="156">
        <f>'1. بيانات العميل'!C7</f>
        <v/>
      </c>
      <c r="C7" s="164">
        <f>'4. محرك المخاطر'!R7</f>
        <v/>
      </c>
      <c r="D7" s="164">
        <f>'4. محرك المخاطر'!S7</f>
        <v/>
      </c>
      <c r="E7" s="164">
        <f>'1. بيانات العميل'!R7</f>
        <v/>
      </c>
      <c r="F7" s="151" t="inlineStr">
        <is>
          <t>أحمد عسيري</t>
        </is>
      </c>
      <c r="G7" s="173" t="inlineStr">
        <is>
          <t>2026-05-30</t>
        </is>
      </c>
      <c r="H7" s="152" t="inlineStr">
        <is>
          <t>موصى به للتمويل</t>
        </is>
      </c>
      <c r="I7" s="151" t="inlineStr">
        <is>
          <t>خالد الحربي</t>
        </is>
      </c>
      <c r="J7" s="173" t="inlineStr">
        <is>
          <t>2026-05-30</t>
        </is>
      </c>
      <c r="K7" s="152" t="inlineStr">
        <is>
          <t>معتمد للتمويل</t>
        </is>
      </c>
      <c r="L7" s="151" t="inlineStr">
        <is>
          <t>فهد العتيبي</t>
        </is>
      </c>
      <c r="M7" s="173" t="inlineStr">
        <is>
          <t>2026-05-30</t>
        </is>
      </c>
      <c r="N7" s="152" t="inlineStr">
        <is>
          <t>مقبول ومعتمد للصرف</t>
        </is>
      </c>
      <c r="O7" s="151" t="inlineStr">
        <is>
          <t>الملف مستوفي كافة شروط الفحص المالي والتحليل الائتماني</t>
        </is>
      </c>
      <c r="P7" s="173" t="inlineStr">
        <is>
          <t>2026-05-30</t>
        </is>
      </c>
    </row>
    <row r="8" ht="15" customHeight="1" s="104">
      <c r="A8" s="149">
        <f>'1. بيانات العميل'!A8</f>
        <v/>
      </c>
      <c r="B8" s="156">
        <f>'1. بيانات العميل'!C8</f>
        <v/>
      </c>
      <c r="C8" s="164">
        <f>'4. محرك المخاطر'!R8</f>
        <v/>
      </c>
      <c r="D8" s="164">
        <f>'4. محرك المخاطر'!S8</f>
        <v/>
      </c>
      <c r="E8" s="164">
        <f>'1. بيانات العميل'!R8</f>
        <v/>
      </c>
      <c r="F8" s="151" t="inlineStr">
        <is>
          <t>أحمد عسيري</t>
        </is>
      </c>
      <c r="G8" s="173" t="inlineStr">
        <is>
          <t>2026-05-30</t>
        </is>
      </c>
      <c r="H8" s="152" t="inlineStr">
        <is>
          <t>موصى به للتمويل</t>
        </is>
      </c>
      <c r="I8" s="151" t="inlineStr">
        <is>
          <t>خالد الحربي</t>
        </is>
      </c>
      <c r="J8" s="173" t="inlineStr">
        <is>
          <t>2026-05-30</t>
        </is>
      </c>
      <c r="K8" s="152" t="inlineStr">
        <is>
          <t>معتمد للتمويل</t>
        </is>
      </c>
      <c r="L8" s="151" t="inlineStr">
        <is>
          <t>فهد العتيبي</t>
        </is>
      </c>
      <c r="M8" s="173" t="inlineStr">
        <is>
          <t>2026-05-30</t>
        </is>
      </c>
      <c r="N8" s="152" t="inlineStr">
        <is>
          <t>مقبول ومعتمد للصرف</t>
        </is>
      </c>
      <c r="O8" s="151" t="inlineStr">
        <is>
          <t>الملف مستوفي كافة شروط الفحص المالي والتحليل الائتماني</t>
        </is>
      </c>
      <c r="P8" s="173" t="inlineStr">
        <is>
          <t>2026-05-30</t>
        </is>
      </c>
    </row>
    <row r="9" ht="15" customHeight="1" s="104">
      <c r="A9" s="149">
        <f>'1. بيانات العميل'!A9</f>
        <v/>
      </c>
      <c r="B9" s="156">
        <f>'1. بيانات العميل'!C9</f>
        <v/>
      </c>
      <c r="C9" s="164">
        <f>'4. محرك المخاطر'!R9</f>
        <v/>
      </c>
      <c r="D9" s="164">
        <f>'4. محرك المخاطر'!S9</f>
        <v/>
      </c>
      <c r="E9" s="164">
        <f>'1. بيانات العميل'!R9</f>
        <v/>
      </c>
      <c r="F9" s="151" t="n"/>
      <c r="G9" s="173" t="n"/>
      <c r="H9" s="152" t="n"/>
      <c r="I9" s="151" t="n"/>
      <c r="J9" s="173" t="n"/>
      <c r="K9" s="152" t="n"/>
      <c r="L9" s="151" t="n"/>
      <c r="M9" s="173" t="n"/>
      <c r="N9" s="152" t="n"/>
      <c r="O9" s="151" t="n"/>
      <c r="P9" s="173" t="n"/>
    </row>
    <row r="10" ht="15" customHeight="1" s="104">
      <c r="A10" s="149">
        <f>'1. بيانات العميل'!A10</f>
        <v/>
      </c>
      <c r="B10" s="156">
        <f>'1. بيانات العميل'!C10</f>
        <v/>
      </c>
      <c r="C10" s="164">
        <f>'4. محرك المخاطر'!R10</f>
        <v/>
      </c>
      <c r="D10" s="164">
        <f>'4. محرك المخاطر'!S10</f>
        <v/>
      </c>
      <c r="E10" s="164">
        <f>'1. بيانات العميل'!R10</f>
        <v/>
      </c>
      <c r="F10" s="151" t="n"/>
      <c r="G10" s="173" t="n"/>
      <c r="H10" s="152" t="n"/>
      <c r="I10" s="151" t="n"/>
      <c r="J10" s="173" t="n"/>
      <c r="K10" s="152" t="n"/>
      <c r="L10" s="151" t="n"/>
      <c r="M10" s="173" t="n"/>
      <c r="N10" s="152" t="n"/>
      <c r="O10" s="151" t="n"/>
      <c r="P10" s="173" t="n"/>
    </row>
    <row r="11" ht="15" customHeight="1" s="104">
      <c r="A11" s="149">
        <f>'1. بيانات العميل'!A11</f>
        <v/>
      </c>
      <c r="B11" s="156">
        <f>'1. بيانات العميل'!C11</f>
        <v/>
      </c>
      <c r="C11" s="164">
        <f>'4. محرك المخاطر'!R11</f>
        <v/>
      </c>
      <c r="D11" s="164">
        <f>'4. محرك المخاطر'!S11</f>
        <v/>
      </c>
      <c r="E11" s="164">
        <f>'1. بيانات العميل'!R11</f>
        <v/>
      </c>
      <c r="F11" s="151" t="n"/>
      <c r="G11" s="173" t="n"/>
      <c r="H11" s="152" t="n"/>
      <c r="I11" s="151" t="n"/>
      <c r="J11" s="173" t="n"/>
      <c r="K11" s="152" t="n"/>
      <c r="L11" s="151" t="n"/>
      <c r="M11" s="173" t="n"/>
      <c r="N11" s="152" t="n"/>
      <c r="O11" s="151" t="n"/>
      <c r="P11" s="173" t="n"/>
    </row>
    <row r="12" ht="15" customHeight="1" s="104">
      <c r="A12" s="149">
        <f>'1. بيانات العميل'!A12</f>
        <v/>
      </c>
      <c r="B12" s="156">
        <f>'1. بيانات العميل'!C12</f>
        <v/>
      </c>
      <c r="C12" s="164">
        <f>'4. محرك المخاطر'!R12</f>
        <v/>
      </c>
      <c r="D12" s="164">
        <f>'4. محرك المخاطر'!S12</f>
        <v/>
      </c>
      <c r="E12" s="164">
        <f>'1. بيانات العميل'!R12</f>
        <v/>
      </c>
      <c r="F12" s="151" t="n"/>
      <c r="G12" s="173" t="n"/>
      <c r="H12" s="152" t="n"/>
      <c r="I12" s="151" t="n"/>
      <c r="J12" s="173" t="n"/>
      <c r="K12" s="152" t="n"/>
      <c r="L12" s="151" t="n"/>
      <c r="M12" s="173" t="n"/>
      <c r="N12" s="152" t="n"/>
      <c r="O12" s="151" t="n"/>
      <c r="P12" s="173" t="n"/>
    </row>
    <row r="13" ht="15" customHeight="1" s="104">
      <c r="A13" s="149">
        <f>'1. بيانات العميل'!A13</f>
        <v/>
      </c>
      <c r="B13" s="156">
        <f>'1. بيانات العميل'!C13</f>
        <v/>
      </c>
      <c r="C13" s="164">
        <f>'4. محرك المخاطر'!R13</f>
        <v/>
      </c>
      <c r="D13" s="164">
        <f>'4. محرك المخاطر'!S13</f>
        <v/>
      </c>
      <c r="E13" s="164">
        <f>'1. بيانات العميل'!R13</f>
        <v/>
      </c>
      <c r="F13" s="151" t="n"/>
      <c r="G13" s="173" t="n"/>
      <c r="H13" s="152" t="n"/>
      <c r="I13" s="151" t="n"/>
      <c r="J13" s="173" t="n"/>
      <c r="K13" s="152" t="n"/>
      <c r="L13" s="151" t="n"/>
      <c r="M13" s="173" t="n"/>
      <c r="N13" s="152" t="n"/>
      <c r="O13" s="151" t="n"/>
      <c r="P13" s="173" t="n"/>
    </row>
    <row r="14" ht="15" customHeight="1" s="104">
      <c r="A14" s="149">
        <f>'1. بيانات العميل'!A14</f>
        <v/>
      </c>
      <c r="B14" s="156">
        <f>'1. بيانات العميل'!C14</f>
        <v/>
      </c>
      <c r="C14" s="164">
        <f>'4. محرك المخاطر'!R14</f>
        <v/>
      </c>
      <c r="D14" s="164">
        <f>'4. محرك المخاطر'!S14</f>
        <v/>
      </c>
      <c r="E14" s="164">
        <f>'1. بيانات العميل'!R14</f>
        <v/>
      </c>
      <c r="F14" s="151" t="n"/>
      <c r="G14" s="173" t="n"/>
      <c r="H14" s="152" t="n"/>
      <c r="I14" s="151" t="n"/>
      <c r="J14" s="173" t="n"/>
      <c r="K14" s="152" t="n"/>
      <c r="L14" s="151" t="n"/>
      <c r="M14" s="173" t="n"/>
      <c r="N14" s="152" t="n"/>
      <c r="O14" s="151" t="n"/>
      <c r="P14" s="173" t="n"/>
    </row>
    <row r="15" ht="15" customHeight="1" s="104">
      <c r="A15" s="149">
        <f>'1. بيانات العميل'!A15</f>
        <v/>
      </c>
      <c r="B15" s="156">
        <f>'1. بيانات العميل'!C15</f>
        <v/>
      </c>
      <c r="C15" s="164">
        <f>'4. محرك المخاطر'!R15</f>
        <v/>
      </c>
      <c r="D15" s="164">
        <f>'4. محرك المخاطر'!S15</f>
        <v/>
      </c>
      <c r="E15" s="164">
        <f>'1. بيانات العميل'!R15</f>
        <v/>
      </c>
      <c r="F15" s="151" t="n"/>
      <c r="G15" s="173" t="n"/>
      <c r="H15" s="152" t="n"/>
      <c r="I15" s="151" t="n"/>
      <c r="J15" s="173" t="n"/>
      <c r="K15" s="152" t="n"/>
      <c r="L15" s="151" t="n"/>
      <c r="M15" s="173" t="n"/>
      <c r="N15" s="152" t="n"/>
      <c r="O15" s="151" t="n"/>
      <c r="P15" s="173" t="n"/>
    </row>
    <row r="16" ht="15" customHeight="1" s="104">
      <c r="A16" s="149">
        <f>'1. بيانات العميل'!A16</f>
        <v/>
      </c>
      <c r="B16" s="156">
        <f>'1. بيانات العميل'!C16</f>
        <v/>
      </c>
      <c r="C16" s="164">
        <f>'4. محرك المخاطر'!R16</f>
        <v/>
      </c>
      <c r="D16" s="164">
        <f>'4. محرك المخاطر'!S16</f>
        <v/>
      </c>
      <c r="E16" s="164">
        <f>'1. بيانات العميل'!R16</f>
        <v/>
      </c>
      <c r="F16" s="151" t="n"/>
      <c r="G16" s="173" t="n"/>
      <c r="H16" s="152" t="n"/>
      <c r="I16" s="151" t="n"/>
      <c r="J16" s="173" t="n"/>
      <c r="K16" s="152" t="n"/>
      <c r="L16" s="151" t="n"/>
      <c r="M16" s="173" t="n"/>
      <c r="N16" s="152" t="n"/>
      <c r="O16" s="151" t="n"/>
      <c r="P16" s="173" t="n"/>
    </row>
    <row r="17" ht="15" customHeight="1" s="104">
      <c r="A17" s="149">
        <f>'1. بيانات العميل'!A17</f>
        <v/>
      </c>
      <c r="B17" s="156">
        <f>'1. بيانات العميل'!C17</f>
        <v/>
      </c>
      <c r="C17" s="164">
        <f>'4. محرك المخاطر'!R17</f>
        <v/>
      </c>
      <c r="D17" s="164">
        <f>'4. محرك المخاطر'!S17</f>
        <v/>
      </c>
      <c r="E17" s="164">
        <f>'1. بيانات العميل'!R17</f>
        <v/>
      </c>
      <c r="F17" s="151" t="n"/>
      <c r="G17" s="173" t="n"/>
      <c r="H17" s="152" t="n"/>
      <c r="I17" s="151" t="n"/>
      <c r="J17" s="173" t="n"/>
      <c r="K17" s="152" t="n"/>
      <c r="L17" s="151" t="n"/>
      <c r="M17" s="173" t="n"/>
      <c r="N17" s="152" t="n"/>
      <c r="O17" s="151" t="n"/>
      <c r="P17" s="173" t="n"/>
    </row>
    <row r="18" ht="15" customHeight="1" s="104">
      <c r="A18" s="149">
        <f>'1. بيانات العميل'!A18</f>
        <v/>
      </c>
      <c r="B18" s="156">
        <f>'1. بيانات العميل'!C18</f>
        <v/>
      </c>
      <c r="C18" s="164">
        <f>'4. محرك المخاطر'!R18</f>
        <v/>
      </c>
      <c r="D18" s="164">
        <f>'4. محرك المخاطر'!S18</f>
        <v/>
      </c>
      <c r="E18" s="164">
        <f>'1. بيانات العميل'!R18</f>
        <v/>
      </c>
      <c r="F18" s="151" t="n"/>
      <c r="G18" s="173" t="n"/>
      <c r="H18" s="152" t="n"/>
      <c r="I18" s="151" t="n"/>
      <c r="J18" s="173" t="n"/>
      <c r="K18" s="152" t="n"/>
      <c r="L18" s="151" t="n"/>
      <c r="M18" s="173" t="n"/>
      <c r="N18" s="152" t="n"/>
      <c r="O18" s="151" t="n"/>
      <c r="P18" s="173" t="n"/>
    </row>
    <row r="19" ht="15" customHeight="1" s="104">
      <c r="A19" s="149">
        <f>'1. بيانات العميل'!A19</f>
        <v/>
      </c>
      <c r="B19" s="156">
        <f>'1. بيانات العميل'!C19</f>
        <v/>
      </c>
      <c r="C19" s="164">
        <f>'4. محرك المخاطر'!R19</f>
        <v/>
      </c>
      <c r="D19" s="164">
        <f>'4. محرك المخاطر'!S19</f>
        <v/>
      </c>
      <c r="E19" s="164">
        <f>'1. بيانات العميل'!R19</f>
        <v/>
      </c>
      <c r="F19" s="151" t="n"/>
      <c r="G19" s="173" t="n"/>
      <c r="H19" s="152" t="n"/>
      <c r="I19" s="151" t="n"/>
      <c r="J19" s="173" t="n"/>
      <c r="K19" s="152" t="n"/>
      <c r="L19" s="151" t="n"/>
      <c r="M19" s="173" t="n"/>
      <c r="N19" s="152" t="n"/>
      <c r="O19" s="151" t="n"/>
      <c r="P19" s="173" t="n"/>
    </row>
    <row r="20" ht="15" customHeight="1" s="104">
      <c r="A20" s="149">
        <f>'1. بيانات العميل'!A20</f>
        <v/>
      </c>
      <c r="B20" s="156">
        <f>'1. بيانات العميل'!C20</f>
        <v/>
      </c>
      <c r="C20" s="164">
        <f>'4. محرك المخاطر'!R20</f>
        <v/>
      </c>
      <c r="D20" s="164">
        <f>'4. محرك المخاطر'!S20</f>
        <v/>
      </c>
      <c r="E20" s="164">
        <f>'1. بيانات العميل'!R20</f>
        <v/>
      </c>
      <c r="F20" s="151" t="n"/>
      <c r="G20" s="173" t="n"/>
      <c r="H20" s="152" t="n"/>
      <c r="I20" s="151" t="n"/>
      <c r="J20" s="173" t="n"/>
      <c r="K20" s="152" t="n"/>
      <c r="L20" s="151" t="n"/>
      <c r="M20" s="173" t="n"/>
      <c r="N20" s="152" t="n"/>
      <c r="O20" s="151" t="n"/>
      <c r="P20" s="173" t="n"/>
    </row>
    <row r="21" ht="15" customHeight="1" s="104">
      <c r="A21" s="149">
        <f>'1. بيانات العميل'!A21</f>
        <v/>
      </c>
      <c r="B21" s="156">
        <f>'1. بيانات العميل'!C21</f>
        <v/>
      </c>
      <c r="C21" s="164">
        <f>'4. محرك المخاطر'!R21</f>
        <v/>
      </c>
      <c r="D21" s="164">
        <f>'4. محرك المخاطر'!S21</f>
        <v/>
      </c>
      <c r="E21" s="164">
        <f>'1. بيانات العميل'!R21</f>
        <v/>
      </c>
      <c r="F21" s="151" t="n"/>
      <c r="G21" s="173" t="n"/>
      <c r="H21" s="152" t="n"/>
      <c r="I21" s="151" t="n"/>
      <c r="J21" s="173" t="n"/>
      <c r="K21" s="152" t="n"/>
      <c r="L21" s="151" t="n"/>
      <c r="M21" s="173" t="n"/>
      <c r="N21" s="152" t="n"/>
      <c r="O21" s="151" t="n"/>
      <c r="P21" s="173" t="n"/>
    </row>
    <row r="22" ht="15" customHeight="1" s="104">
      <c r="A22" s="149">
        <f>'1. بيانات العميل'!A22</f>
        <v/>
      </c>
      <c r="B22" s="156">
        <f>'1. بيانات العميل'!C22</f>
        <v/>
      </c>
      <c r="C22" s="164">
        <f>'4. محرك المخاطر'!R22</f>
        <v/>
      </c>
      <c r="D22" s="164">
        <f>'4. محرك المخاطر'!S22</f>
        <v/>
      </c>
      <c r="E22" s="164">
        <f>'1. بيانات العميل'!R22</f>
        <v/>
      </c>
      <c r="F22" s="151" t="n"/>
      <c r="G22" s="173" t="n"/>
      <c r="H22" s="152" t="n"/>
      <c r="I22" s="151" t="n"/>
      <c r="J22" s="173" t="n"/>
      <c r="K22" s="152" t="n"/>
      <c r="L22" s="151" t="n"/>
      <c r="M22" s="173" t="n"/>
      <c r="N22" s="152" t="n"/>
      <c r="O22" s="151" t="n"/>
      <c r="P22" s="173" t="n"/>
    </row>
    <row r="23" ht="15" customHeight="1" s="104">
      <c r="A23" s="149">
        <f>'1. بيانات العميل'!A23</f>
        <v/>
      </c>
      <c r="B23" s="156">
        <f>'1. بيانات العميل'!C23</f>
        <v/>
      </c>
      <c r="C23" s="164">
        <f>'4. محرك المخاطر'!R23</f>
        <v/>
      </c>
      <c r="D23" s="164">
        <f>'4. محرك المخاطر'!S23</f>
        <v/>
      </c>
      <c r="E23" s="164">
        <f>'1. بيانات العميل'!R23</f>
        <v/>
      </c>
      <c r="F23" s="151" t="n"/>
      <c r="G23" s="173" t="n"/>
      <c r="H23" s="152" t="n"/>
      <c r="I23" s="151" t="n"/>
      <c r="J23" s="173" t="n"/>
      <c r="K23" s="152" t="n"/>
      <c r="L23" s="151" t="n"/>
      <c r="M23" s="173" t="n"/>
      <c r="N23" s="152" t="n"/>
      <c r="O23" s="151" t="n"/>
      <c r="P23" s="173" t="n"/>
    </row>
    <row r="24" ht="15" customHeight="1" s="104">
      <c r="A24" s="149">
        <f>'1. بيانات العميل'!A24</f>
        <v/>
      </c>
      <c r="B24" s="156">
        <f>'1. بيانات العميل'!C24</f>
        <v/>
      </c>
      <c r="C24" s="164">
        <f>'4. محرك المخاطر'!R24</f>
        <v/>
      </c>
      <c r="D24" s="164">
        <f>'4. محرك المخاطر'!S24</f>
        <v/>
      </c>
      <c r="E24" s="164">
        <f>'1. بيانات العميل'!R24</f>
        <v/>
      </c>
      <c r="F24" s="151" t="n"/>
      <c r="G24" s="173" t="n"/>
      <c r="H24" s="152" t="n"/>
      <c r="I24" s="151" t="n"/>
      <c r="J24" s="173" t="n"/>
      <c r="K24" s="152" t="n"/>
      <c r="L24" s="151" t="n"/>
      <c r="M24" s="173" t="n"/>
      <c r="N24" s="152" t="n"/>
      <c r="O24" s="151" t="n"/>
      <c r="P24" s="173" t="n"/>
    </row>
    <row r="25" ht="15" customHeight="1" s="104">
      <c r="A25" s="149">
        <f>'1. بيانات العميل'!A25</f>
        <v/>
      </c>
      <c r="B25" s="156">
        <f>'1. بيانات العميل'!C25</f>
        <v/>
      </c>
      <c r="C25" s="164">
        <f>'4. محرك المخاطر'!R25</f>
        <v/>
      </c>
      <c r="D25" s="164">
        <f>'4. محرك المخاطر'!S25</f>
        <v/>
      </c>
      <c r="E25" s="164">
        <f>'1. بيانات العميل'!R25</f>
        <v/>
      </c>
      <c r="F25" s="151" t="n"/>
      <c r="G25" s="173" t="n"/>
      <c r="H25" s="152" t="n"/>
      <c r="I25" s="151" t="n"/>
      <c r="J25" s="173" t="n"/>
      <c r="K25" s="152" t="n"/>
      <c r="L25" s="151" t="n"/>
      <c r="M25" s="173" t="n"/>
      <c r="N25" s="152" t="n"/>
      <c r="O25" s="151" t="n"/>
      <c r="P25" s="173" t="n"/>
    </row>
    <row r="26" ht="15" customHeight="1" s="104">
      <c r="A26" s="149">
        <f>'1. بيانات العميل'!A26</f>
        <v/>
      </c>
      <c r="B26" s="156">
        <f>'1. بيانات العميل'!C26</f>
        <v/>
      </c>
      <c r="C26" s="164">
        <f>'4. محرك المخاطر'!R26</f>
        <v/>
      </c>
      <c r="D26" s="164">
        <f>'4. محرك المخاطر'!S26</f>
        <v/>
      </c>
      <c r="E26" s="164">
        <f>'1. بيانات العميل'!R26</f>
        <v/>
      </c>
      <c r="F26" s="151" t="n"/>
      <c r="G26" s="173" t="n"/>
      <c r="H26" s="152" t="n"/>
      <c r="I26" s="151" t="n"/>
      <c r="J26" s="173" t="n"/>
      <c r="K26" s="152" t="n"/>
      <c r="L26" s="151" t="n"/>
      <c r="M26" s="173" t="n"/>
      <c r="N26" s="152" t="n"/>
      <c r="O26" s="151" t="n"/>
      <c r="P26" s="173" t="n"/>
    </row>
    <row r="27" ht="15" customHeight="1" s="104">
      <c r="A27" s="149">
        <f>'1. بيانات العميل'!A27</f>
        <v/>
      </c>
      <c r="B27" s="156">
        <f>'1. بيانات العميل'!C27</f>
        <v/>
      </c>
      <c r="C27" s="164">
        <f>'4. محرك المخاطر'!R27</f>
        <v/>
      </c>
      <c r="D27" s="164">
        <f>'4. محرك المخاطر'!S27</f>
        <v/>
      </c>
      <c r="E27" s="164">
        <f>'1. بيانات العميل'!R27</f>
        <v/>
      </c>
      <c r="F27" s="151" t="n"/>
      <c r="G27" s="173" t="n"/>
      <c r="H27" s="152" t="n"/>
      <c r="I27" s="151" t="n"/>
      <c r="J27" s="173" t="n"/>
      <c r="K27" s="152" t="n"/>
      <c r="L27" s="151" t="n"/>
      <c r="M27" s="173" t="n"/>
      <c r="N27" s="152" t="n"/>
      <c r="O27" s="151" t="n"/>
      <c r="P27" s="173" t="n"/>
    </row>
    <row r="28" ht="15" customHeight="1" s="104">
      <c r="A28" s="149">
        <f>'1. بيانات العميل'!A28</f>
        <v/>
      </c>
      <c r="B28" s="156">
        <f>'1. بيانات العميل'!C28</f>
        <v/>
      </c>
      <c r="C28" s="164">
        <f>'4. محرك المخاطر'!R28</f>
        <v/>
      </c>
      <c r="D28" s="164">
        <f>'4. محرك المخاطر'!S28</f>
        <v/>
      </c>
      <c r="E28" s="164">
        <f>'1. بيانات العميل'!R28</f>
        <v/>
      </c>
      <c r="F28" s="151" t="n"/>
      <c r="G28" s="173" t="n"/>
      <c r="H28" s="152" t="n"/>
      <c r="I28" s="151" t="n"/>
      <c r="J28" s="173" t="n"/>
      <c r="K28" s="152" t="n"/>
      <c r="L28" s="151" t="n"/>
      <c r="M28" s="173" t="n"/>
      <c r="N28" s="152" t="n"/>
      <c r="O28" s="151" t="n"/>
      <c r="P28" s="173" t="n"/>
    </row>
    <row r="29" ht="15" customHeight="1" s="104">
      <c r="A29" s="149">
        <f>'1. بيانات العميل'!A29</f>
        <v/>
      </c>
      <c r="B29" s="156">
        <f>'1. بيانات العميل'!C29</f>
        <v/>
      </c>
      <c r="C29" s="164">
        <f>'4. محرك المخاطر'!R29</f>
        <v/>
      </c>
      <c r="D29" s="164">
        <f>'4. محرك المخاطر'!S29</f>
        <v/>
      </c>
      <c r="E29" s="164">
        <f>'1. بيانات العميل'!R29</f>
        <v/>
      </c>
      <c r="F29" s="151" t="n"/>
      <c r="G29" s="173" t="n"/>
      <c r="H29" s="152" t="n"/>
      <c r="I29" s="151" t="n"/>
      <c r="J29" s="173" t="n"/>
      <c r="K29" s="152" t="n"/>
      <c r="L29" s="151" t="n"/>
      <c r="M29" s="173" t="n"/>
      <c r="N29" s="152" t="n"/>
      <c r="O29" s="151" t="n"/>
      <c r="P29" s="173" t="n"/>
    </row>
    <row r="30" ht="15" customHeight="1" s="104">
      <c r="A30" s="149">
        <f>'1. بيانات العميل'!A30</f>
        <v/>
      </c>
      <c r="B30" s="156">
        <f>'1. بيانات العميل'!C30</f>
        <v/>
      </c>
      <c r="C30" s="164">
        <f>'4. محرك المخاطر'!R30</f>
        <v/>
      </c>
      <c r="D30" s="164">
        <f>'4. محرك المخاطر'!S30</f>
        <v/>
      </c>
      <c r="E30" s="164">
        <f>'1. بيانات العميل'!R30</f>
        <v/>
      </c>
      <c r="F30" s="151" t="n"/>
      <c r="G30" s="173" t="n"/>
      <c r="H30" s="152" t="n"/>
      <c r="I30" s="151" t="n"/>
      <c r="J30" s="173" t="n"/>
      <c r="K30" s="152" t="n"/>
      <c r="L30" s="151" t="n"/>
      <c r="M30" s="173" t="n"/>
      <c r="N30" s="152" t="n"/>
      <c r="O30" s="151" t="n"/>
      <c r="P30" s="173" t="n"/>
    </row>
    <row r="31" ht="15" customHeight="1" s="104">
      <c r="A31" s="149">
        <f>'1. بيانات العميل'!A31</f>
        <v/>
      </c>
      <c r="B31" s="156">
        <f>'1. بيانات العميل'!C31</f>
        <v/>
      </c>
      <c r="C31" s="164">
        <f>'4. محرك المخاطر'!R31</f>
        <v/>
      </c>
      <c r="D31" s="164">
        <f>'4. محرك المخاطر'!S31</f>
        <v/>
      </c>
      <c r="E31" s="164">
        <f>'1. بيانات العميل'!R31</f>
        <v/>
      </c>
      <c r="F31" s="151" t="n"/>
      <c r="G31" s="173" t="n"/>
      <c r="H31" s="152" t="n"/>
      <c r="I31" s="151" t="n"/>
      <c r="J31" s="173" t="n"/>
      <c r="K31" s="152" t="n"/>
      <c r="L31" s="151" t="n"/>
      <c r="M31" s="173" t="n"/>
      <c r="N31" s="152" t="n"/>
      <c r="O31" s="151" t="n"/>
      <c r="P31" s="173" t="n"/>
    </row>
    <row r="32" ht="15" customHeight="1" s="104">
      <c r="A32" s="149">
        <f>'1. بيانات العميل'!A32</f>
        <v/>
      </c>
      <c r="B32" s="156">
        <f>'1. بيانات العميل'!C32</f>
        <v/>
      </c>
      <c r="C32" s="164">
        <f>'4. محرك المخاطر'!R32</f>
        <v/>
      </c>
      <c r="D32" s="164">
        <f>'4. محرك المخاطر'!S32</f>
        <v/>
      </c>
      <c r="E32" s="164">
        <f>'1. بيانات العميل'!R32</f>
        <v/>
      </c>
      <c r="F32" s="151" t="n"/>
      <c r="G32" s="173" t="n"/>
      <c r="H32" s="152" t="n"/>
      <c r="I32" s="151" t="n"/>
      <c r="J32" s="173" t="n"/>
      <c r="K32" s="152" t="n"/>
      <c r="L32" s="151" t="n"/>
      <c r="M32" s="173" t="n"/>
      <c r="N32" s="152" t="n"/>
      <c r="O32" s="151" t="n"/>
      <c r="P32" s="173" t="n"/>
    </row>
    <row r="33" ht="15" customHeight="1" s="104">
      <c r="A33" s="149">
        <f>'1. بيانات العميل'!A33</f>
        <v/>
      </c>
      <c r="B33" s="156">
        <f>'1. بيانات العميل'!C33</f>
        <v/>
      </c>
      <c r="C33" s="164">
        <f>'4. محرك المخاطر'!R33</f>
        <v/>
      </c>
      <c r="D33" s="164">
        <f>'4. محرك المخاطر'!S33</f>
        <v/>
      </c>
      <c r="E33" s="164">
        <f>'1. بيانات العميل'!R33</f>
        <v/>
      </c>
      <c r="F33" s="151" t="n"/>
      <c r="G33" s="173" t="n"/>
      <c r="H33" s="152" t="n"/>
      <c r="I33" s="151" t="n"/>
      <c r="J33" s="173" t="n"/>
      <c r="K33" s="152" t="n"/>
      <c r="L33" s="151" t="n"/>
      <c r="M33" s="173" t="n"/>
      <c r="N33" s="152" t="n"/>
      <c r="O33" s="151" t="n"/>
      <c r="P33" s="173" t="n"/>
    </row>
    <row r="34" ht="15" customHeight="1" s="104">
      <c r="A34" s="149">
        <f>'1. بيانات العميل'!A34</f>
        <v/>
      </c>
      <c r="B34" s="156">
        <f>'1. بيانات العميل'!C34</f>
        <v/>
      </c>
      <c r="C34" s="164">
        <f>'4. محرك المخاطر'!R34</f>
        <v/>
      </c>
      <c r="D34" s="164">
        <f>'4. محرك المخاطر'!S34</f>
        <v/>
      </c>
      <c r="E34" s="164">
        <f>'1. بيانات العميل'!R34</f>
        <v/>
      </c>
      <c r="F34" s="151" t="n"/>
      <c r="G34" s="173" t="n"/>
      <c r="H34" s="152" t="n"/>
      <c r="I34" s="151" t="n"/>
      <c r="J34" s="173" t="n"/>
      <c r="K34" s="152" t="n"/>
      <c r="L34" s="151" t="n"/>
      <c r="M34" s="173" t="n"/>
      <c r="N34" s="152" t="n"/>
      <c r="O34" s="151" t="n"/>
      <c r="P34" s="173" t="n"/>
    </row>
    <row r="35" ht="15" customHeight="1" s="104">
      <c r="A35" s="149">
        <f>'1. بيانات العميل'!A35</f>
        <v/>
      </c>
      <c r="B35" s="156">
        <f>'1. بيانات العميل'!C35</f>
        <v/>
      </c>
      <c r="C35" s="164">
        <f>'4. محرك المخاطر'!R35</f>
        <v/>
      </c>
      <c r="D35" s="164">
        <f>'4. محرك المخاطر'!S35</f>
        <v/>
      </c>
      <c r="E35" s="164">
        <f>'1. بيانات العميل'!R35</f>
        <v/>
      </c>
      <c r="F35" s="151" t="n"/>
      <c r="G35" s="173" t="n"/>
      <c r="H35" s="152" t="n"/>
      <c r="I35" s="151" t="n"/>
      <c r="J35" s="173" t="n"/>
      <c r="K35" s="152" t="n"/>
      <c r="L35" s="151" t="n"/>
      <c r="M35" s="173" t="n"/>
      <c r="N35" s="152" t="n"/>
      <c r="O35" s="151" t="n"/>
      <c r="P35" s="173" t="n"/>
    </row>
    <row r="36" ht="15" customHeight="1" s="104">
      <c r="A36" s="149">
        <f>'1. بيانات العميل'!A36</f>
        <v/>
      </c>
      <c r="B36" s="156">
        <f>'1. بيانات العميل'!C36</f>
        <v/>
      </c>
      <c r="C36" s="164">
        <f>'4. محرك المخاطر'!R36</f>
        <v/>
      </c>
      <c r="D36" s="164">
        <f>'4. محرك المخاطر'!S36</f>
        <v/>
      </c>
      <c r="E36" s="164">
        <f>'1. بيانات العميل'!R36</f>
        <v/>
      </c>
      <c r="F36" s="151" t="n"/>
      <c r="G36" s="173" t="n"/>
      <c r="H36" s="152" t="n"/>
      <c r="I36" s="151" t="n"/>
      <c r="J36" s="173" t="n"/>
      <c r="K36" s="152" t="n"/>
      <c r="L36" s="151" t="n"/>
      <c r="M36" s="173" t="n"/>
      <c r="N36" s="152" t="n"/>
      <c r="O36" s="151" t="n"/>
      <c r="P36" s="173" t="n"/>
    </row>
    <row r="37" ht="15" customHeight="1" s="104">
      <c r="A37" s="149">
        <f>'1. بيانات العميل'!A37</f>
        <v/>
      </c>
      <c r="B37" s="156">
        <f>'1. بيانات العميل'!C37</f>
        <v/>
      </c>
      <c r="C37" s="164">
        <f>'4. محرك المخاطر'!R37</f>
        <v/>
      </c>
      <c r="D37" s="164">
        <f>'4. محرك المخاطر'!S37</f>
        <v/>
      </c>
      <c r="E37" s="164">
        <f>'1. بيانات العميل'!R37</f>
        <v/>
      </c>
      <c r="F37" s="151" t="n"/>
      <c r="G37" s="173" t="n"/>
      <c r="H37" s="152" t="n"/>
      <c r="I37" s="151" t="n"/>
      <c r="J37" s="173" t="n"/>
      <c r="K37" s="152" t="n"/>
      <c r="L37" s="151" t="n"/>
      <c r="M37" s="173" t="n"/>
      <c r="N37" s="152" t="n"/>
      <c r="O37" s="151" t="n"/>
      <c r="P37" s="173" t="n"/>
    </row>
    <row r="38" ht="15" customHeight="1" s="104">
      <c r="A38" s="149">
        <f>'1. بيانات العميل'!A38</f>
        <v/>
      </c>
      <c r="B38" s="156">
        <f>'1. بيانات العميل'!C38</f>
        <v/>
      </c>
      <c r="C38" s="164">
        <f>'4. محرك المخاطر'!R38</f>
        <v/>
      </c>
      <c r="D38" s="164">
        <f>'4. محرك المخاطر'!S38</f>
        <v/>
      </c>
      <c r="E38" s="164">
        <f>'1. بيانات العميل'!R38</f>
        <v/>
      </c>
      <c r="F38" s="151" t="n"/>
      <c r="G38" s="173" t="n"/>
      <c r="H38" s="152" t="n"/>
      <c r="I38" s="151" t="n"/>
      <c r="J38" s="173" t="n"/>
      <c r="K38" s="152" t="n"/>
      <c r="L38" s="151" t="n"/>
      <c r="M38" s="173" t="n"/>
      <c r="N38" s="152" t="n"/>
      <c r="O38" s="151" t="n"/>
      <c r="P38" s="173" t="n"/>
    </row>
    <row r="39" ht="15" customHeight="1" s="104">
      <c r="A39" s="149">
        <f>'1. بيانات العميل'!A39</f>
        <v/>
      </c>
      <c r="B39" s="156">
        <f>'1. بيانات العميل'!C39</f>
        <v/>
      </c>
      <c r="C39" s="164">
        <f>'4. محرك المخاطر'!R39</f>
        <v/>
      </c>
      <c r="D39" s="164">
        <f>'4. محرك المخاطر'!S39</f>
        <v/>
      </c>
      <c r="E39" s="164">
        <f>'1. بيانات العميل'!R39</f>
        <v/>
      </c>
      <c r="F39" s="151" t="n"/>
      <c r="G39" s="173" t="n"/>
      <c r="H39" s="152" t="n"/>
      <c r="I39" s="151" t="n"/>
      <c r="J39" s="173" t="n"/>
      <c r="K39" s="152" t="n"/>
      <c r="L39" s="151" t="n"/>
      <c r="M39" s="173" t="n"/>
      <c r="N39" s="152" t="n"/>
      <c r="O39" s="151" t="n"/>
      <c r="P39" s="173" t="n"/>
    </row>
    <row r="40" ht="15" customHeight="1" s="104">
      <c r="A40" s="149">
        <f>'1. بيانات العميل'!A40</f>
        <v/>
      </c>
      <c r="B40" s="156">
        <f>'1. بيانات العميل'!C40</f>
        <v/>
      </c>
      <c r="C40" s="164">
        <f>'4. محرك المخاطر'!R40</f>
        <v/>
      </c>
      <c r="D40" s="164">
        <f>'4. محرك المخاطر'!S40</f>
        <v/>
      </c>
      <c r="E40" s="164">
        <f>'1. بيانات العميل'!R40</f>
        <v/>
      </c>
      <c r="F40" s="151" t="n"/>
      <c r="G40" s="173" t="n"/>
      <c r="H40" s="152" t="n"/>
      <c r="I40" s="151" t="n"/>
      <c r="J40" s="173" t="n"/>
      <c r="K40" s="152" t="n"/>
      <c r="L40" s="151" t="n"/>
      <c r="M40" s="173" t="n"/>
      <c r="N40" s="152" t="n"/>
      <c r="O40" s="151" t="n"/>
      <c r="P40" s="173" t="n"/>
    </row>
    <row r="41" ht="15" customHeight="1" s="104">
      <c r="A41" s="149">
        <f>'1. بيانات العميل'!A41</f>
        <v/>
      </c>
      <c r="B41" s="156">
        <f>'1. بيانات العميل'!C41</f>
        <v/>
      </c>
      <c r="C41" s="164">
        <f>'4. محرك المخاطر'!R41</f>
        <v/>
      </c>
      <c r="D41" s="164">
        <f>'4. محرك المخاطر'!S41</f>
        <v/>
      </c>
      <c r="E41" s="164">
        <f>'1. بيانات العميل'!R41</f>
        <v/>
      </c>
      <c r="F41" s="151" t="n"/>
      <c r="G41" s="173" t="n"/>
      <c r="H41" s="152" t="n"/>
      <c r="I41" s="151" t="n"/>
      <c r="J41" s="173" t="n"/>
      <c r="K41" s="152" t="n"/>
      <c r="L41" s="151" t="n"/>
      <c r="M41" s="173" t="n"/>
      <c r="N41" s="152" t="n"/>
      <c r="O41" s="151" t="n"/>
      <c r="P41" s="173" t="n"/>
    </row>
    <row r="42" ht="15" customHeight="1" s="104">
      <c r="A42" s="149">
        <f>'1. بيانات العميل'!A42</f>
        <v/>
      </c>
      <c r="B42" s="156">
        <f>'1. بيانات العميل'!C42</f>
        <v/>
      </c>
      <c r="C42" s="164">
        <f>'4. محرك المخاطر'!R42</f>
        <v/>
      </c>
      <c r="D42" s="164">
        <f>'4. محرك المخاطر'!S42</f>
        <v/>
      </c>
      <c r="E42" s="164">
        <f>'1. بيانات العميل'!R42</f>
        <v/>
      </c>
      <c r="F42" s="151" t="n"/>
      <c r="G42" s="173" t="n"/>
      <c r="H42" s="152" t="n"/>
      <c r="I42" s="151" t="n"/>
      <c r="J42" s="173" t="n"/>
      <c r="K42" s="152" t="n"/>
      <c r="L42" s="151" t="n"/>
      <c r="M42" s="173" t="n"/>
      <c r="N42" s="152" t="n"/>
      <c r="O42" s="151" t="n"/>
      <c r="P42" s="173" t="n"/>
    </row>
    <row r="43" ht="15" customHeight="1" s="104">
      <c r="A43" s="149">
        <f>'1. بيانات العميل'!A43</f>
        <v/>
      </c>
      <c r="B43" s="156">
        <f>'1. بيانات العميل'!C43</f>
        <v/>
      </c>
      <c r="C43" s="164">
        <f>'4. محرك المخاطر'!R43</f>
        <v/>
      </c>
      <c r="D43" s="164">
        <f>'4. محرك المخاطر'!S43</f>
        <v/>
      </c>
      <c r="E43" s="164">
        <f>'1. بيانات العميل'!R43</f>
        <v/>
      </c>
      <c r="F43" s="151" t="n"/>
      <c r="G43" s="173" t="n"/>
      <c r="H43" s="152" t="n"/>
      <c r="I43" s="151" t="n"/>
      <c r="J43" s="173" t="n"/>
      <c r="K43" s="152" t="n"/>
      <c r="L43" s="151" t="n"/>
      <c r="M43" s="173" t="n"/>
      <c r="N43" s="152" t="n"/>
      <c r="O43" s="151" t="n"/>
      <c r="P43" s="173" t="n"/>
    </row>
    <row r="44" ht="15" customHeight="1" s="104">
      <c r="A44" s="149">
        <f>'1. بيانات العميل'!A44</f>
        <v/>
      </c>
      <c r="B44" s="156">
        <f>'1. بيانات العميل'!C44</f>
        <v/>
      </c>
      <c r="C44" s="164">
        <f>'4. محرك المخاطر'!R44</f>
        <v/>
      </c>
      <c r="D44" s="164">
        <f>'4. محرك المخاطر'!S44</f>
        <v/>
      </c>
      <c r="E44" s="164">
        <f>'1. بيانات العميل'!R44</f>
        <v/>
      </c>
      <c r="F44" s="151" t="n"/>
      <c r="G44" s="173" t="n"/>
      <c r="H44" s="152" t="n"/>
      <c r="I44" s="151" t="n"/>
      <c r="J44" s="173" t="n"/>
      <c r="K44" s="152" t="n"/>
      <c r="L44" s="151" t="n"/>
      <c r="M44" s="173" t="n"/>
      <c r="N44" s="152" t="n"/>
      <c r="O44" s="151" t="n"/>
      <c r="P44" s="173" t="n"/>
    </row>
    <row r="45" ht="15" customHeight="1" s="104">
      <c r="A45" s="149">
        <f>'1. بيانات العميل'!A45</f>
        <v/>
      </c>
      <c r="B45" s="156">
        <f>'1. بيانات العميل'!C45</f>
        <v/>
      </c>
      <c r="C45" s="164">
        <f>'4. محرك المخاطر'!R45</f>
        <v/>
      </c>
      <c r="D45" s="164">
        <f>'4. محرك المخاطر'!S45</f>
        <v/>
      </c>
      <c r="E45" s="164">
        <f>'1. بيانات العميل'!R45</f>
        <v/>
      </c>
      <c r="F45" s="151" t="n"/>
      <c r="G45" s="173" t="n"/>
      <c r="H45" s="152" t="n"/>
      <c r="I45" s="151" t="n"/>
      <c r="J45" s="173" t="n"/>
      <c r="K45" s="152" t="n"/>
      <c r="L45" s="151" t="n"/>
      <c r="M45" s="173" t="n"/>
      <c r="N45" s="152" t="n"/>
      <c r="O45" s="151" t="n"/>
      <c r="P45" s="173" t="n"/>
    </row>
    <row r="46" ht="15" customHeight="1" s="104">
      <c r="A46" s="149">
        <f>'1. بيانات العميل'!A46</f>
        <v/>
      </c>
      <c r="B46" s="156">
        <f>'1. بيانات العميل'!C46</f>
        <v/>
      </c>
      <c r="C46" s="164">
        <f>'4. محرك المخاطر'!R46</f>
        <v/>
      </c>
      <c r="D46" s="164">
        <f>'4. محرك المخاطر'!S46</f>
        <v/>
      </c>
      <c r="E46" s="164">
        <f>'1. بيانات العميل'!R46</f>
        <v/>
      </c>
      <c r="F46" s="151" t="n"/>
      <c r="G46" s="173" t="n"/>
      <c r="H46" s="152" t="n"/>
      <c r="I46" s="151" t="n"/>
      <c r="J46" s="173" t="n"/>
      <c r="K46" s="152" t="n"/>
      <c r="L46" s="151" t="n"/>
      <c r="M46" s="173" t="n"/>
      <c r="N46" s="152" t="n"/>
      <c r="O46" s="151" t="n"/>
      <c r="P46" s="173" t="n"/>
    </row>
    <row r="47" ht="15" customHeight="1" s="104">
      <c r="A47" s="149">
        <f>'1. بيانات العميل'!A47</f>
        <v/>
      </c>
      <c r="B47" s="156">
        <f>'1. بيانات العميل'!C47</f>
        <v/>
      </c>
      <c r="C47" s="164">
        <f>'4. محرك المخاطر'!R47</f>
        <v/>
      </c>
      <c r="D47" s="164">
        <f>'4. محرك المخاطر'!S47</f>
        <v/>
      </c>
      <c r="E47" s="164">
        <f>'1. بيانات العميل'!R47</f>
        <v/>
      </c>
      <c r="F47" s="151" t="n"/>
      <c r="G47" s="173" t="n"/>
      <c r="H47" s="152" t="n"/>
      <c r="I47" s="151" t="n"/>
      <c r="J47" s="173" t="n"/>
      <c r="K47" s="152" t="n"/>
      <c r="L47" s="151" t="n"/>
      <c r="M47" s="173" t="n"/>
      <c r="N47" s="152" t="n"/>
      <c r="O47" s="151" t="n"/>
      <c r="P47" s="173" t="n"/>
    </row>
    <row r="48" ht="15" customHeight="1" s="104">
      <c r="A48" s="149">
        <f>'1. بيانات العميل'!A48</f>
        <v/>
      </c>
      <c r="B48" s="156">
        <f>'1. بيانات العميل'!C48</f>
        <v/>
      </c>
      <c r="C48" s="164">
        <f>'4. محرك المخاطر'!R48</f>
        <v/>
      </c>
      <c r="D48" s="164">
        <f>'4. محرك المخاطر'!S48</f>
        <v/>
      </c>
      <c r="E48" s="164">
        <f>'1. بيانات العميل'!R48</f>
        <v/>
      </c>
      <c r="F48" s="151" t="n"/>
      <c r="G48" s="173" t="n"/>
      <c r="H48" s="152" t="n"/>
      <c r="I48" s="151" t="n"/>
      <c r="J48" s="173" t="n"/>
      <c r="K48" s="152" t="n"/>
      <c r="L48" s="151" t="n"/>
      <c r="M48" s="173" t="n"/>
      <c r="N48" s="152" t="n"/>
      <c r="O48" s="151" t="n"/>
      <c r="P48" s="173" t="n"/>
    </row>
    <row r="49" ht="15" customHeight="1" s="104">
      <c r="A49" s="149">
        <f>'1. بيانات العميل'!A49</f>
        <v/>
      </c>
      <c r="B49" s="156">
        <f>'1. بيانات العميل'!C49</f>
        <v/>
      </c>
      <c r="C49" s="164">
        <f>'4. محرك المخاطر'!R49</f>
        <v/>
      </c>
      <c r="D49" s="164">
        <f>'4. محرك المخاطر'!S49</f>
        <v/>
      </c>
      <c r="E49" s="164">
        <f>'1. بيانات العميل'!R49</f>
        <v/>
      </c>
      <c r="F49" s="151" t="n"/>
      <c r="G49" s="173" t="n"/>
      <c r="H49" s="152" t="n"/>
      <c r="I49" s="151" t="n"/>
      <c r="J49" s="173" t="n"/>
      <c r="K49" s="152" t="n"/>
      <c r="L49" s="151" t="n"/>
      <c r="M49" s="173" t="n"/>
      <c r="N49" s="152" t="n"/>
      <c r="O49" s="151" t="n"/>
      <c r="P49" s="173" t="n"/>
    </row>
    <row r="50" ht="15" customHeight="1" s="104">
      <c r="A50" s="149">
        <f>'1. بيانات العميل'!A50</f>
        <v/>
      </c>
      <c r="B50" s="156">
        <f>'1. بيانات العميل'!C50</f>
        <v/>
      </c>
      <c r="C50" s="164">
        <f>'4. محرك المخاطر'!R50</f>
        <v/>
      </c>
      <c r="D50" s="164">
        <f>'4. محرك المخاطر'!S50</f>
        <v/>
      </c>
      <c r="E50" s="164">
        <f>'1. بيانات العميل'!R50</f>
        <v/>
      </c>
      <c r="F50" s="151" t="n"/>
      <c r="G50" s="173" t="n"/>
      <c r="H50" s="152" t="n"/>
      <c r="I50" s="151" t="n"/>
      <c r="J50" s="173" t="n"/>
      <c r="K50" s="152" t="n"/>
      <c r="L50" s="151" t="n"/>
      <c r="M50" s="173" t="n"/>
      <c r="N50" s="152" t="n"/>
      <c r="O50" s="151" t="n"/>
      <c r="P50" s="173" t="n"/>
    </row>
    <row r="51" ht="15" customHeight="1" s="104">
      <c r="A51" s="149">
        <f>'1. بيانات العميل'!A51</f>
        <v/>
      </c>
      <c r="B51" s="156">
        <f>'1. بيانات العميل'!C51</f>
        <v/>
      </c>
      <c r="C51" s="164">
        <f>'4. محرك المخاطر'!R51</f>
        <v/>
      </c>
      <c r="D51" s="164">
        <f>'4. محرك المخاطر'!S51</f>
        <v/>
      </c>
      <c r="E51" s="164">
        <f>'1. بيانات العميل'!R51</f>
        <v/>
      </c>
      <c r="F51" s="151" t="n"/>
      <c r="G51" s="173" t="n"/>
      <c r="H51" s="152" t="n"/>
      <c r="I51" s="151" t="n"/>
      <c r="J51" s="173" t="n"/>
      <c r="K51" s="152" t="n"/>
      <c r="L51" s="151" t="n"/>
      <c r="M51" s="173" t="n"/>
      <c r="N51" s="152" t="n"/>
      <c r="O51" s="151" t="n"/>
      <c r="P51" s="173" t="n"/>
    </row>
    <row r="52" ht="15" customHeight="1" s="104">
      <c r="A52" s="149">
        <f>'1. بيانات العميل'!A52</f>
        <v/>
      </c>
      <c r="B52" s="156">
        <f>'1. بيانات العميل'!C52</f>
        <v/>
      </c>
      <c r="C52" s="164">
        <f>'4. محرك المخاطر'!R52</f>
        <v/>
      </c>
      <c r="D52" s="164">
        <f>'4. محرك المخاطر'!S52</f>
        <v/>
      </c>
      <c r="E52" s="164">
        <f>'1. بيانات العميل'!R52</f>
        <v/>
      </c>
      <c r="F52" s="151" t="n"/>
      <c r="G52" s="173" t="n"/>
      <c r="H52" s="152" t="n"/>
      <c r="I52" s="151" t="n"/>
      <c r="J52" s="173" t="n"/>
      <c r="K52" s="152" t="n"/>
      <c r="L52" s="151" t="n"/>
      <c r="M52" s="173" t="n"/>
      <c r="N52" s="152" t="n"/>
      <c r="O52" s="151" t="n"/>
      <c r="P52" s="173" t="n"/>
    </row>
    <row r="53" ht="15" customHeight="1" s="104">
      <c r="A53" s="149">
        <f>'1. بيانات العميل'!A53</f>
        <v/>
      </c>
      <c r="B53" s="156">
        <f>'1. بيانات العميل'!C53</f>
        <v/>
      </c>
      <c r="C53" s="164">
        <f>'4. محرك المخاطر'!R53</f>
        <v/>
      </c>
      <c r="D53" s="164">
        <f>'4. محرك المخاطر'!S53</f>
        <v/>
      </c>
      <c r="E53" s="164">
        <f>'1. بيانات العميل'!R53</f>
        <v/>
      </c>
      <c r="F53" s="151" t="n"/>
      <c r="G53" s="173" t="n"/>
      <c r="H53" s="152" t="n"/>
      <c r="I53" s="151" t="n"/>
      <c r="J53" s="173" t="n"/>
      <c r="K53" s="152" t="n"/>
      <c r="L53" s="151" t="n"/>
      <c r="M53" s="173" t="n"/>
      <c r="N53" s="152" t="n"/>
      <c r="O53" s="151" t="n"/>
      <c r="P53" s="173" t="n"/>
    </row>
  </sheetData>
  <mergeCells count="1">
    <mergeCell ref="A1:P1"/>
  </mergeCells>
  <dataValidations count="1">
    <dataValidation sqref="H4:H53 K4:K53 N4:N53" showDropDown="0" showInputMessage="0" showErrorMessage="0" allowBlank="1" type="list" errorStyle="stop" operator="between">
      <formula1>"موافقة,موافقة بتحفظ,رفض,يحتاج مراجعة"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3D5A99"/>
    <outlinePr summaryBelow="1" summaryRight="1"/>
    <pageSetUpPr fitToPage="0"/>
  </sheetPr>
  <dimension ref="A1:H4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3" min="1" max="8"/>
  </cols>
  <sheetData>
    <row r="1" ht="54.75" customHeight="1" s="104">
      <c r="A1" s="105" t="inlineStr">
        <is>
          <t>🏦  نظام تحليل العملاء والجدارة الائتمانية</t>
        </is>
      </c>
    </row>
    <row r="2" ht="27.75" customHeight="1" s="104">
      <c r="A2" s="174" t="inlineStr">
        <is>
          <t>أمر تنفيذ عملية سداد  |  Debt Settlement Execution Order</t>
        </is>
      </c>
    </row>
    <row r="4" ht="30" customHeight="1" s="104">
      <c r="A4" s="175" t="inlineStr">
        <is>
          <t>🔍  اختر رقم الملف:</t>
        </is>
      </c>
      <c r="D4" s="176" t="n"/>
      <c r="E4" s="177" t="inlineStr">
        <is>
          <t>⬆️ أدخل رقم الملف أو الصف (4-53) في الخلية D4 لعرض تقرير العميل</t>
        </is>
      </c>
    </row>
    <row r="6" ht="24" customHeight="1" s="104">
      <c r="A6" s="178" t="inlineStr">
        <is>
          <t>👤  أولاً: بيانات العميل الأساسية</t>
        </is>
      </c>
    </row>
    <row r="7" ht="21.75" customHeight="1" s="104">
      <c r="A7" s="179" t="inlineStr">
        <is>
          <t>رقم الملف</t>
        </is>
      </c>
      <c r="B7" s="180" t="n"/>
      <c r="C7" s="180" t="n"/>
      <c r="D7" s="181">
        <f>IFERROR(INDEX('1. بيانات العميل'!A:A,D4),"-")</f>
        <v/>
      </c>
      <c r="E7" s="182" t="n"/>
      <c r="F7" s="182" t="n"/>
      <c r="G7" s="182" t="n"/>
      <c r="H7" s="182" t="n"/>
    </row>
    <row r="8" ht="21.75" customHeight="1" s="104">
      <c r="A8" s="179" t="inlineStr">
        <is>
          <t>اسم العميل</t>
        </is>
      </c>
      <c r="B8" s="180" t="n"/>
      <c r="C8" s="180" t="n"/>
      <c r="D8" s="183">
        <f>IFERROR(INDEX('1. بيانات العميل'!C:C,D4),"-")</f>
        <v/>
      </c>
      <c r="E8" s="182" t="n"/>
      <c r="F8" s="182" t="n"/>
      <c r="G8" s="182" t="n"/>
      <c r="H8" s="182" t="n"/>
    </row>
    <row r="9" ht="21.75" customHeight="1" s="104">
      <c r="A9" s="179" t="inlineStr">
        <is>
          <t>رقم الهوية</t>
        </is>
      </c>
      <c r="B9" s="180" t="n"/>
      <c r="C9" s="180" t="n"/>
      <c r="D9" s="183">
        <f>IFERROR(INDEX('1. بيانات العميل'!D:D,D4),"-")</f>
        <v/>
      </c>
      <c r="E9" s="182" t="n"/>
      <c r="F9" s="182" t="n"/>
      <c r="G9" s="182" t="n"/>
      <c r="H9" s="182" t="n"/>
    </row>
    <row r="10" ht="21.75" customHeight="1" s="104">
      <c r="A10" s="179" t="inlineStr">
        <is>
          <t>رقم الجوال</t>
        </is>
      </c>
      <c r="B10" s="180" t="n"/>
      <c r="C10" s="180" t="n"/>
      <c r="D10" s="183">
        <f>IFERROR(INDEX('1. بيانات العميل'!E:E,D4),"-")</f>
        <v/>
      </c>
      <c r="E10" s="182" t="n"/>
      <c r="F10" s="182" t="n"/>
      <c r="G10" s="182" t="n"/>
      <c r="H10" s="182" t="n"/>
    </row>
    <row r="11" ht="21.75" customHeight="1" s="104">
      <c r="A11" s="179" t="inlineStr">
        <is>
          <t>جهة العمل</t>
        </is>
      </c>
      <c r="B11" s="180" t="n"/>
      <c r="C11" s="180" t="n"/>
      <c r="D11" s="183">
        <f>IFERROR(INDEX('1. بيانات العميل'!G:G,D4),"-")</f>
        <v/>
      </c>
      <c r="E11" s="182" t="n"/>
      <c r="F11" s="182" t="n"/>
      <c r="G11" s="182" t="n"/>
      <c r="H11" s="182" t="n"/>
    </row>
    <row r="12" ht="21.75" customHeight="1" s="104">
      <c r="A12" s="179" t="inlineStr">
        <is>
          <t>نوع جهة العمل</t>
        </is>
      </c>
      <c r="B12" s="180" t="n"/>
      <c r="C12" s="180" t="n"/>
      <c r="D12" s="183">
        <f>IFERROR(INDEX('1. بيانات العميل'!H:H,D4),"-")</f>
        <v/>
      </c>
      <c r="E12" s="182" t="n"/>
      <c r="F12" s="182" t="n"/>
      <c r="G12" s="182" t="n"/>
      <c r="H12" s="182" t="n"/>
    </row>
    <row r="13" ht="21.75" customHeight="1" s="104">
      <c r="A13" s="179" t="inlineStr">
        <is>
          <t>الراتب الأساسي</t>
        </is>
      </c>
      <c r="B13" s="180" t="n"/>
      <c r="C13" s="180" t="n"/>
      <c r="D13" s="184">
        <f>IFERROR(INDEX('1. بيانات العميل'!I:I,D4),"-")</f>
        <v/>
      </c>
      <c r="E13" s="182" t="n"/>
      <c r="F13" s="182" t="n"/>
      <c r="G13" s="182" t="n"/>
      <c r="H13" s="182" t="n"/>
    </row>
    <row r="14" ht="21.75" customHeight="1" s="104">
      <c r="A14" s="179" t="inlineStr">
        <is>
          <t>صافي الراتب</t>
        </is>
      </c>
      <c r="B14" s="180" t="n"/>
      <c r="C14" s="180" t="n"/>
      <c r="D14" s="184">
        <f>IFERROR(INDEX('1. بيانات العميل'!K:K,D4),"-")</f>
        <v/>
      </c>
      <c r="E14" s="182" t="n"/>
      <c r="F14" s="182" t="n"/>
      <c r="G14" s="182" t="n"/>
      <c r="H14" s="182" t="n"/>
    </row>
    <row r="16" ht="24" customHeight="1" s="104">
      <c r="A16" s="185" t="inlineStr">
        <is>
          <t>📊  ثانياً: نتائج التقييم الائتماني</t>
        </is>
      </c>
    </row>
    <row r="17" ht="21.75" customHeight="1" s="104">
      <c r="A17" s="179" t="inlineStr">
        <is>
          <t>درجة سمة</t>
        </is>
      </c>
      <c r="B17" s="180" t="n"/>
      <c r="C17" s="180" t="n"/>
      <c r="D17" s="183">
        <f>IFERROR(INDEX('1. بيانات العميل'!M:M,D4),"-")</f>
        <v/>
      </c>
      <c r="E17" s="182" t="n"/>
      <c r="F17" s="182" t="n"/>
      <c r="G17" s="182" t="n"/>
      <c r="H17" s="182" t="n"/>
    </row>
    <row r="18" ht="21.75" customHeight="1" s="104">
      <c r="A18" s="179" t="inlineStr">
        <is>
          <t>نسبة الاستقطاع (DTI)</t>
        </is>
      </c>
      <c r="B18" s="180" t="n"/>
      <c r="C18" s="180" t="n"/>
      <c r="D18" s="186">
        <f>IFERROR(INDEX('2. الالتزامات'!N:N,D4),"-")</f>
        <v/>
      </c>
      <c r="E18" s="182" t="n"/>
      <c r="F18" s="182" t="n"/>
      <c r="G18" s="182" t="n"/>
      <c r="H18" s="182" t="n"/>
    </row>
    <row r="19" ht="21.75" customHeight="1" s="104">
      <c r="A19" s="179" t="inlineStr">
        <is>
          <t>إجمالي النقاط</t>
        </is>
      </c>
      <c r="B19" s="180" t="n"/>
      <c r="C19" s="180" t="n"/>
      <c r="D19" s="187">
        <f>IFERROR(INDEX('4. محرك المخاطر'!P:P,D4),"-")</f>
        <v/>
      </c>
      <c r="E19" s="182" t="n"/>
      <c r="F19" s="182" t="n"/>
      <c r="G19" s="182" t="n"/>
      <c r="H19" s="182" t="n"/>
    </row>
    <row r="20" ht="21.75" customHeight="1" s="104">
      <c r="A20" s="179" t="inlineStr">
        <is>
          <t>التصنيف الائتماني</t>
        </is>
      </c>
      <c r="B20" s="180" t="n"/>
      <c r="C20" s="180" t="n"/>
      <c r="D20" s="188">
        <f>IFERROR(INDEX('4. محرك المخاطر'!R:R,D4),"-")</f>
        <v/>
      </c>
      <c r="E20" s="182" t="n"/>
      <c r="F20" s="182" t="n"/>
      <c r="G20" s="182" t="n"/>
      <c r="H20" s="182" t="n"/>
    </row>
    <row r="21" ht="21.75" customHeight="1" s="104">
      <c r="A21" s="179" t="inlineStr">
        <is>
          <t>درجة المخاطرة</t>
        </is>
      </c>
      <c r="B21" s="180" t="n"/>
      <c r="C21" s="180" t="n"/>
      <c r="D21" s="188">
        <f>IFERROR(INDEX('4. محرك المخاطر'!S:S,D4),"-")</f>
        <v/>
      </c>
      <c r="E21" s="182" t="n"/>
      <c r="F21" s="182" t="n"/>
      <c r="G21" s="182" t="n"/>
      <c r="H21" s="182" t="n"/>
    </row>
    <row r="23" ht="24" customHeight="1" s="104">
      <c r="A23" s="189" t="inlineStr">
        <is>
          <t>⚖️  ثالثاً: ملف التنفيذات</t>
        </is>
      </c>
    </row>
    <row r="24" ht="21.75" customHeight="1" s="104">
      <c r="A24" s="179" t="inlineStr">
        <is>
          <t>إجمالي عدد التنفيذات</t>
        </is>
      </c>
      <c r="B24" s="180" t="n"/>
      <c r="C24" s="180" t="n"/>
      <c r="D24" s="183">
        <f>IFERROR(INDEX('3. التنفيذات'!K:K,D4),"-")</f>
        <v/>
      </c>
      <c r="E24" s="182" t="n"/>
      <c r="F24" s="182" t="n"/>
      <c r="G24" s="182" t="n"/>
      <c r="H24" s="182" t="n"/>
    </row>
    <row r="25" ht="21.75" customHeight="1" s="104">
      <c r="A25" s="179" t="inlineStr">
        <is>
          <t>إجمالي مبالغ التنفيذات</t>
        </is>
      </c>
      <c r="B25" s="180" t="n"/>
      <c r="C25" s="180" t="n"/>
      <c r="D25" s="184">
        <f>IFERROR(INDEX('3. التنفيذات'!L:L,D4),"-")</f>
        <v/>
      </c>
      <c r="E25" s="182" t="n"/>
      <c r="F25" s="182" t="n"/>
      <c r="G25" s="182" t="n"/>
      <c r="H25" s="182" t="n"/>
    </row>
    <row r="26" ht="21.75" customHeight="1" s="104">
      <c r="A26" s="179" t="inlineStr">
        <is>
          <t>مستوى مخاطر التنفيذات</t>
        </is>
      </c>
      <c r="B26" s="180" t="n"/>
      <c r="C26" s="180" t="n"/>
      <c r="D26" s="183">
        <f>IFERROR(INDEX('3. التنفيذات'!M:M,D4),"-")</f>
        <v/>
      </c>
      <c r="E26" s="182" t="n"/>
      <c r="F26" s="182" t="n"/>
      <c r="G26" s="182" t="n"/>
      <c r="H26" s="182" t="n"/>
    </row>
    <row r="28" ht="24" customHeight="1" s="104">
      <c r="A28" s="190" t="inlineStr">
        <is>
          <t>💰  رابعاً: دراسة الجدوى التمويلية</t>
        </is>
      </c>
    </row>
    <row r="29" ht="21.75" customHeight="1" s="104">
      <c r="A29" s="179" t="inlineStr">
        <is>
          <t>إجمالي المديونيات</t>
        </is>
      </c>
      <c r="B29" s="180" t="n"/>
      <c r="C29" s="180" t="n"/>
      <c r="D29" s="184">
        <f>IFERROR(INDEX('5. الجدوى التمويلية'!G:G,D4),"-")</f>
        <v/>
      </c>
      <c r="E29" s="182" t="n"/>
      <c r="F29" s="182" t="n"/>
      <c r="G29" s="182" t="n"/>
      <c r="H29" s="182" t="n"/>
    </row>
    <row r="30" ht="21.75" customHeight="1" s="104">
      <c r="A30" s="179" t="inlineStr">
        <is>
          <t>مبلغ السداد المطلوب</t>
        </is>
      </c>
      <c r="B30" s="180" t="n"/>
      <c r="C30" s="180" t="n"/>
      <c r="D30" s="191">
        <f>IFERROR(INDEX('5. الجدوى التمويلية'!I:I,D4),"-")</f>
        <v/>
      </c>
      <c r="E30" s="182" t="n"/>
      <c r="F30" s="182" t="n"/>
      <c r="G30" s="182" t="n"/>
      <c r="H30" s="182" t="n"/>
    </row>
    <row r="31" ht="21.75" customHeight="1" s="104">
      <c r="A31" s="179" t="inlineStr">
        <is>
          <t>مبلغ التمويل المتوقع</t>
        </is>
      </c>
      <c r="B31" s="180" t="n"/>
      <c r="C31" s="180" t="n"/>
      <c r="D31" s="192">
        <f>IFERROR(INDEX('5. الجدوى التمويلية'!F:F,D4),"-")</f>
        <v/>
      </c>
      <c r="E31" s="182" t="n"/>
      <c r="F31" s="182" t="n"/>
      <c r="G31" s="182" t="n"/>
      <c r="H31" s="182" t="n"/>
    </row>
    <row r="32" ht="21.75" customHeight="1" s="104">
      <c r="A32" s="179" t="inlineStr">
        <is>
          <t>قيمة أتعاب الشركة</t>
        </is>
      </c>
      <c r="B32" s="180" t="n"/>
      <c r="C32" s="180" t="n"/>
      <c r="D32" s="184">
        <f>IFERROR(INDEX('5. الجدوى التمويلية'!K:K,D4),"-")</f>
        <v/>
      </c>
      <c r="E32" s="182" t="n"/>
      <c r="F32" s="182" t="n"/>
      <c r="G32" s="182" t="n"/>
      <c r="H32" s="182" t="n"/>
    </row>
    <row r="33" ht="21.75" customHeight="1" s="104">
      <c r="A33" s="179" t="inlineStr">
        <is>
          <t>صافي الفائض للعميل</t>
        </is>
      </c>
      <c r="B33" s="180" t="n"/>
      <c r="C33" s="180" t="n"/>
      <c r="D33" s="191">
        <f>IFERROR(INDEX('5. الجدوى التمويلية'!M:M,D4),"-")</f>
        <v/>
      </c>
      <c r="E33" s="182" t="n"/>
      <c r="F33" s="182" t="n"/>
      <c r="G33" s="182" t="n"/>
      <c r="H33" s="182" t="n"/>
    </row>
    <row r="34" ht="21.75" customHeight="1" s="104">
      <c r="A34" s="179" t="inlineStr">
        <is>
          <t>قرار الجدوى</t>
        </is>
      </c>
      <c r="B34" s="180" t="n"/>
      <c r="C34" s="180" t="n"/>
      <c r="D34" s="188">
        <f>IFERROR(INDEX('5. الجدوى التمويلية'!N:N,D4),"-")</f>
        <v/>
      </c>
      <c r="E34" s="182" t="n"/>
      <c r="F34" s="182" t="n"/>
      <c r="G34" s="182" t="n"/>
      <c r="H34" s="182" t="n"/>
    </row>
    <row r="36" ht="24" customHeight="1" s="104">
      <c r="A36" s="193" t="inlineStr">
        <is>
          <t>✅  خامساً: الاعتمادات</t>
        </is>
      </c>
    </row>
    <row r="37" ht="21.75" customHeight="1" s="104">
      <c r="A37" s="179" t="inlineStr">
        <is>
          <t>قرار محلل الائتمان</t>
        </is>
      </c>
      <c r="B37" s="180" t="n"/>
      <c r="C37" s="180" t="n"/>
      <c r="D37" s="183">
        <f>IFERROR(INDEX('6. الاعتمادات'!H:H,D4),"-")</f>
        <v/>
      </c>
      <c r="E37" s="182" t="n"/>
      <c r="F37" s="182" t="n"/>
      <c r="G37" s="182" t="n"/>
      <c r="H37" s="182" t="n"/>
    </row>
    <row r="38" ht="21.75" customHeight="1" s="104">
      <c r="A38" s="179" t="inlineStr">
        <is>
          <t>قرار مدير العمليات</t>
        </is>
      </c>
      <c r="B38" s="180" t="n"/>
      <c r="C38" s="180" t="n"/>
      <c r="D38" s="183">
        <f>IFERROR(INDEX('6. الاعتمادات'!K:K,D4),"-")</f>
        <v/>
      </c>
      <c r="E38" s="182" t="n"/>
      <c r="F38" s="182" t="n"/>
      <c r="G38" s="182" t="n"/>
      <c r="H38" s="182" t="n"/>
    </row>
    <row r="39" ht="21.75" customHeight="1" s="104">
      <c r="A39" s="179" t="inlineStr">
        <is>
          <t>قرار الإدارة المالية</t>
        </is>
      </c>
      <c r="B39" s="180" t="n"/>
      <c r="C39" s="180" t="n"/>
      <c r="D39" s="183">
        <f>IFERROR(INDEX('6. الاعتمادات'!N:N,D4),"-")</f>
        <v/>
      </c>
      <c r="E39" s="182" t="n"/>
      <c r="F39" s="182" t="n"/>
      <c r="G39" s="182" t="n"/>
      <c r="H39" s="182" t="n"/>
    </row>
    <row r="42" ht="24" customHeight="1" s="104">
      <c r="A42" s="194" t="inlineStr">
        <is>
          <t>🖊️  للطباعة والتوقيع | For Print &amp; Signature</t>
        </is>
      </c>
    </row>
    <row r="43" ht="60" customHeight="1" s="104">
      <c r="A43" s="195" t="inlineStr">
        <is>
          <t>محلل الائتمان: ________________				مدير العمليات: ________________				الإدارة المالية: ________________</t>
        </is>
      </c>
      <c r="B43" s="180" t="n"/>
      <c r="C43" s="180" t="n"/>
      <c r="D43" s="180" t="n"/>
      <c r="E43" s="180" t="n"/>
      <c r="F43" s="180" t="n"/>
      <c r="G43" s="180" t="n"/>
      <c r="H43" s="180" t="n"/>
    </row>
  </sheetData>
  <mergeCells count="61">
    <mergeCell ref="A25:C25"/>
    <mergeCell ref="D20:H20"/>
    <mergeCell ref="D34:H34"/>
    <mergeCell ref="A37:C37"/>
    <mergeCell ref="D10:H10"/>
    <mergeCell ref="D19:H19"/>
    <mergeCell ref="A18:C18"/>
    <mergeCell ref="A36:H36"/>
    <mergeCell ref="A21:C21"/>
    <mergeCell ref="D31:H31"/>
    <mergeCell ref="A1:H1"/>
    <mergeCell ref="A12:C12"/>
    <mergeCell ref="A26:C26"/>
    <mergeCell ref="A6:H6"/>
    <mergeCell ref="D21:H21"/>
    <mergeCell ref="A33:C33"/>
    <mergeCell ref="A32:C32"/>
    <mergeCell ref="A8:C8"/>
    <mergeCell ref="A14:C14"/>
    <mergeCell ref="A16:H16"/>
    <mergeCell ref="D11:H11"/>
    <mergeCell ref="D13:H13"/>
    <mergeCell ref="A17:C17"/>
    <mergeCell ref="D32:H32"/>
    <mergeCell ref="A29:C29"/>
    <mergeCell ref="A4:C4"/>
    <mergeCell ref="A20:C20"/>
    <mergeCell ref="A38:C38"/>
    <mergeCell ref="D17:H17"/>
    <mergeCell ref="A10:C10"/>
    <mergeCell ref="D7:H7"/>
    <mergeCell ref="A13:C13"/>
    <mergeCell ref="A19:C19"/>
    <mergeCell ref="A2:H2"/>
    <mergeCell ref="E4:H4"/>
    <mergeCell ref="A31:C31"/>
    <mergeCell ref="A42:H42"/>
    <mergeCell ref="A9:C9"/>
    <mergeCell ref="D37:H37"/>
    <mergeCell ref="A30:C30"/>
    <mergeCell ref="A39:C39"/>
    <mergeCell ref="A34:C34"/>
    <mergeCell ref="A23:H23"/>
    <mergeCell ref="D18:H18"/>
    <mergeCell ref="A24:C24"/>
    <mergeCell ref="D9:H9"/>
    <mergeCell ref="D12:H12"/>
    <mergeCell ref="D30:H30"/>
    <mergeCell ref="D8:H8"/>
    <mergeCell ref="A11:C11"/>
    <mergeCell ref="D25:H25"/>
    <mergeCell ref="D39:H39"/>
    <mergeCell ref="D24:H24"/>
    <mergeCell ref="A43:H43"/>
    <mergeCell ref="D33:H33"/>
    <mergeCell ref="A28:H28"/>
    <mergeCell ref="D29:H29"/>
    <mergeCell ref="D38:H38"/>
    <mergeCell ref="D14:H14"/>
    <mergeCell ref="A7:C7"/>
    <mergeCell ref="D26:H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3D5A99"/>
    <outlinePr summaryBelow="1" summaryRight="1"/>
    <pageSetUpPr fitToPage="0"/>
  </sheetPr>
  <dimension ref="A1:P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3" min="1" max="2"/>
    <col width="38" customWidth="1" style="103" min="3" max="3"/>
    <col width="22" customWidth="1" style="103" min="4" max="15"/>
  </cols>
  <sheetData>
    <row r="1" ht="39.75" customHeight="1" s="104">
      <c r="A1" s="196" t="inlineStr">
        <is>
          <t>⚙️  صفحة الإعدادات والسياسات - يمكن تعديل جميع المعايير من هنا دون المساس بالمعادلات</t>
        </is>
      </c>
    </row>
    <row r="3" ht="15" customHeight="1" s="104">
      <c r="A3" s="197" t="inlineStr">
        <is>
          <t>🔴  سياسة الرفض المباشر - حدود الرفض</t>
        </is>
      </c>
      <c r="F3" s="197" t="inlineStr">
        <is>
          <t>📋  قوائم البيانات (لا تعدل هذه القوائم)</t>
        </is>
      </c>
    </row>
    <row r="4" ht="15" customHeight="1" s="104">
      <c r="A4" s="198" t="inlineStr">
        <is>
          <t>المعيار</t>
        </is>
      </c>
      <c r="B4" s="198" t="inlineStr">
        <is>
          <t>الحد</t>
        </is>
      </c>
      <c r="C4" s="198" t="inlineStr">
        <is>
          <t>الوصف</t>
        </is>
      </c>
      <c r="D4" s="198" t="inlineStr">
        <is>
          <t>النوع</t>
        </is>
      </c>
      <c r="F4" s="199" t="inlineStr">
        <is>
          <t>أنواع جهة العمل</t>
        </is>
      </c>
      <c r="G4" s="199" t="inlineStr">
        <is>
          <t>نعم/لا</t>
        </is>
      </c>
      <c r="H4" s="199" t="inlineStr">
        <is>
          <t>مرحلة Workflow</t>
        </is>
      </c>
      <c r="I4" s="199" t="inlineStr">
        <is>
          <t>حالات القضايا</t>
        </is>
      </c>
      <c r="J4" s="199" t="inlineStr">
        <is>
          <t>المحاكم</t>
        </is>
      </c>
    </row>
    <row r="5" ht="15" customHeight="1" s="104">
      <c r="A5" s="200" t="inlineStr">
        <is>
          <t>MAX_EXECUTIONS</t>
        </is>
      </c>
      <c r="B5" s="201" t="n">
        <v>8</v>
      </c>
      <c r="C5" s="202" t="inlineStr">
        <is>
          <t>الحد الأقصى لعدد طلبات التنفيذ</t>
        </is>
      </c>
      <c r="D5" s="203" t="inlineStr">
        <is>
          <t>عدد</t>
        </is>
      </c>
      <c r="F5" s="144" t="inlineStr">
        <is>
          <t>حكومي</t>
        </is>
      </c>
      <c r="G5" s="144" t="inlineStr">
        <is>
          <t>نعم</t>
        </is>
      </c>
      <c r="H5" s="144" t="inlineStr">
        <is>
          <t>جديد</t>
        </is>
      </c>
      <c r="I5" s="144" t="inlineStr">
        <is>
          <t>تم التنفيذ - انتهت وتم السداد</t>
        </is>
      </c>
      <c r="J5" s="144" t="inlineStr">
        <is>
          <t>محكمة التنفيذ بالرياض</t>
        </is>
      </c>
    </row>
    <row r="6" ht="15" customHeight="1" s="104">
      <c r="A6" s="200" t="inlineStr">
        <is>
          <t>MAX_EXEC_AMOUNT</t>
        </is>
      </c>
      <c r="B6" s="201" t="n">
        <v>100000</v>
      </c>
      <c r="C6" s="202" t="inlineStr">
        <is>
          <t>الحد الأقصى لإجمالي مبالغ التنفيذات (ريال)</t>
        </is>
      </c>
      <c r="D6" s="203" t="inlineStr">
        <is>
          <t>مبلغ</t>
        </is>
      </c>
      <c r="F6" s="144" t="inlineStr">
        <is>
          <t>شبه حكومي</t>
        </is>
      </c>
      <c r="G6" s="144" t="inlineStr">
        <is>
          <t>لا</t>
        </is>
      </c>
      <c r="H6" s="144" t="inlineStr">
        <is>
          <t>تحت التحليل</t>
        </is>
      </c>
      <c r="I6" s="144" t="inlineStr">
        <is>
          <t>قيد التنفيذ - لم تنتهي ولم يتم السداد</t>
        </is>
      </c>
      <c r="J6" s="144" t="inlineStr">
        <is>
          <t>محكمة التنفيذ بجدة</t>
        </is>
      </c>
    </row>
    <row r="7" ht="15" customHeight="1" s="104">
      <c r="A7" s="200" t="inlineStr">
        <is>
          <t>MAX_FINANCE_EXECS</t>
        </is>
      </c>
      <c r="B7" s="201" t="n">
        <v>3</v>
      </c>
      <c r="C7" s="202" t="inlineStr">
        <is>
          <t>الحد الأقصى لتنفيذات شركات التمويل</t>
        </is>
      </c>
      <c r="D7" s="203" t="inlineStr">
        <is>
          <t>عدد</t>
        </is>
      </c>
      <c r="F7" s="144" t="inlineStr">
        <is>
          <t>خاص كبير</t>
        </is>
      </c>
      <c r="H7" s="144" t="inlineStr">
        <is>
          <t>معتمد من محلل الائتمان</t>
        </is>
      </c>
      <c r="I7" s="144" t="inlineStr">
        <is>
          <t>منتهي - لم يتم اكمال الإجراءات</t>
        </is>
      </c>
      <c r="J7" s="144" t="inlineStr">
        <is>
          <t>محكمة التنفيذ بالدمام</t>
        </is>
      </c>
    </row>
    <row r="8" ht="15" customHeight="1" s="104">
      <c r="A8" s="200" t="inlineStr">
        <is>
          <t>MIN_SIMAH</t>
        </is>
      </c>
      <c r="B8" s="201" t="n">
        <v>550</v>
      </c>
      <c r="C8" s="202" t="inlineStr">
        <is>
          <t>الحد الأدنى لدرجة سمة</t>
        </is>
      </c>
      <c r="D8" s="203" t="inlineStr">
        <is>
          <t>درجة</t>
        </is>
      </c>
      <c r="F8" s="144" t="inlineStr">
        <is>
          <t>خاص صغير</t>
        </is>
      </c>
      <c r="H8" s="144" t="inlineStr">
        <is>
          <t>معتمد من مدير العمليات</t>
        </is>
      </c>
      <c r="I8" s="144" t="inlineStr">
        <is>
          <t>أنهي الطلب قبل إيقاف الخدمات</t>
        </is>
      </c>
      <c r="J8" s="144" t="inlineStr">
        <is>
          <t>محكمة التنفيذ بمكة المكرمة</t>
        </is>
      </c>
    </row>
    <row r="9" ht="15" customHeight="1" s="104">
      <c r="A9" s="200" t="inlineStr">
        <is>
          <t>MAX_DTI</t>
        </is>
      </c>
      <c r="B9" s="201" t="n">
        <v>0.7</v>
      </c>
      <c r="C9" s="202" t="inlineStr">
        <is>
          <t>الحد الأقصى لنسبة الاستقطاع</t>
        </is>
      </c>
      <c r="D9" s="203" t="inlineStr">
        <is>
          <t>نسبة</t>
        </is>
      </c>
      <c r="F9" s="144" t="inlineStr">
        <is>
          <t>متقاعد</t>
        </is>
      </c>
      <c r="H9" s="144" t="inlineStr">
        <is>
          <t>تحت المراجعة المالية</t>
        </is>
      </c>
      <c r="J9" s="144" t="inlineStr">
        <is>
          <t>محكمة التنفيذ بالمدينة المنورة</t>
        </is>
      </c>
    </row>
    <row r="10" ht="15" customHeight="1" s="104">
      <c r="H10" s="144" t="inlineStr">
        <is>
          <t>معتمد مالياً</t>
        </is>
      </c>
      <c r="J10" s="144" t="inlineStr">
        <is>
          <t>محكمة التنفيذ بأبها</t>
        </is>
      </c>
    </row>
    <row r="11" ht="15" customHeight="1" s="104">
      <c r="A11" s="197" t="inlineStr">
        <is>
          <t>🎯  حدود التصنيف الائتماني</t>
        </is>
      </c>
      <c r="H11" s="144" t="inlineStr">
        <is>
          <t>مكتمل</t>
        </is>
      </c>
      <c r="J11" s="144" t="inlineStr">
        <is>
          <t>محكمة التنفيذ بتبوك</t>
        </is>
      </c>
    </row>
    <row r="12" ht="15" customHeight="1" s="104">
      <c r="A12" s="198" t="inlineStr">
        <is>
          <t>التصنيف</t>
        </is>
      </c>
      <c r="B12" s="198" t="inlineStr">
        <is>
          <t>الحد الأدنى</t>
        </is>
      </c>
      <c r="C12" s="198" t="inlineStr">
        <is>
          <t>الحد الأقصى</t>
        </is>
      </c>
      <c r="D12" s="198" t="inlineStr">
        <is>
          <t>اللون</t>
        </is>
      </c>
      <c r="H12" s="144" t="inlineStr">
        <is>
          <t>مرفوض</t>
        </is>
      </c>
      <c r="J12" s="144" t="inlineStr">
        <is>
          <t>محكمة التنفيذ بحائل</t>
        </is>
      </c>
    </row>
    <row r="13" ht="15" customHeight="1" s="104">
      <c r="A13" s="204" t="inlineStr">
        <is>
          <t>A - مؤهل</t>
        </is>
      </c>
      <c r="B13" s="201" t="n">
        <v>85</v>
      </c>
      <c r="C13" s="201" t="n">
        <v>105</v>
      </c>
      <c r="D13" s="205" t="inlineStr">
        <is>
          <t>27AE60</t>
        </is>
      </c>
      <c r="J13" s="144" t="inlineStr">
        <is>
          <t>محكمة التنفيذ بالقصيم</t>
        </is>
      </c>
    </row>
    <row r="14" ht="15" customHeight="1" s="104">
      <c r="A14" s="206" t="inlineStr">
        <is>
          <t>B - مؤهل بتحفظ</t>
        </is>
      </c>
      <c r="B14" s="201" t="n">
        <v>70</v>
      </c>
      <c r="C14" s="201" t="n">
        <v>84</v>
      </c>
      <c r="D14" s="207" t="inlineStr">
        <is>
          <t>F39C12</t>
        </is>
      </c>
      <c r="J14" s="144" t="inlineStr">
        <is>
          <t>محكمة التنفيذ بالطائف</t>
        </is>
      </c>
    </row>
    <row r="15" ht="15" customHeight="1" s="104">
      <c r="A15" s="208" t="inlineStr">
        <is>
          <t>C - يحتاج استثناء</t>
        </is>
      </c>
      <c r="B15" s="201" t="n">
        <v>55</v>
      </c>
      <c r="C15" s="201" t="n">
        <v>69</v>
      </c>
      <c r="D15" s="209" t="inlineStr">
        <is>
          <t>E67E22</t>
        </is>
      </c>
    </row>
    <row r="16" ht="15" customHeight="1" s="104">
      <c r="A16" s="210" t="inlineStr">
        <is>
          <t>D - مرفوض</t>
        </is>
      </c>
      <c r="B16" s="201" t="n">
        <v>0</v>
      </c>
      <c r="C16" s="201" t="n">
        <v>54</v>
      </c>
      <c r="D16" s="211" t="inlineStr">
        <is>
          <t>E74C3C</t>
        </is>
      </c>
    </row>
  </sheetData>
  <mergeCells count="4">
    <mergeCell ref="A1:P1"/>
    <mergeCell ref="F3:J3"/>
    <mergeCell ref="A3:D3"/>
    <mergeCell ref="A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2026-05-30T12:11:29Z</dcterms:created>
  <dcterms:modified xsi:type="dcterms:W3CDTF">2026-05-30T12:54:04Z</dcterms:modified>
  <cp:revision>0</cp:revision>
</cp:coreProperties>
</file>